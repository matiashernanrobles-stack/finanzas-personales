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mhrobles\OneDrive - Empresa Provincial de Energia de la Provincia de Cordoba - EPEC-\Personal\Finanzas\"/>
    </mc:Choice>
  </mc:AlternateContent>
  <bookViews>
    <workbookView xWindow="-120" yWindow="-120" windowWidth="29040" windowHeight="15720"/>
  </bookViews>
  <sheets>
    <sheet name="Hoja1" sheetId="1" r:id="rId1"/>
    <sheet name="Hoja2" sheetId="6" r:id="rId2"/>
    <sheet name="Viaje 14-3" sheetId="3" state="hidden" r:id="rId3"/>
    <sheet name="Beca" sheetId="2" state="hidden" r:id="rId4"/>
    <sheet name="Mudanza" sheetId="7" r:id="rId5"/>
    <sheet name="Auto" sheetId="4" r:id="rId6"/>
    <sheet name="Cuotas" sheetId="5" r:id="rId7"/>
  </sheets>
  <definedNames>
    <definedName name="_xlnm._FilterDatabase" localSheetId="5" hidden="1">Auto!$D$2:$H$2</definedName>
  </definedNames>
  <calcPr calcId="162913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84" i="1" l="1"/>
  <c r="K784" i="1"/>
  <c r="I783" i="1"/>
  <c r="K783" i="1"/>
  <c r="I785" i="1"/>
  <c r="K785" i="1"/>
  <c r="K839" i="1" l="1"/>
  <c r="I839" i="1"/>
  <c r="K838" i="1"/>
  <c r="I838" i="1"/>
  <c r="K837" i="1"/>
  <c r="I837" i="1"/>
  <c r="K836" i="1"/>
  <c r="I836" i="1"/>
  <c r="K835" i="1"/>
  <c r="I835" i="1"/>
  <c r="K834" i="1"/>
  <c r="I834" i="1"/>
  <c r="K833" i="1"/>
  <c r="I833" i="1"/>
  <c r="K832" i="1"/>
  <c r="I832" i="1"/>
  <c r="K831" i="1"/>
  <c r="I831" i="1"/>
  <c r="K830" i="1"/>
  <c r="I830" i="1"/>
  <c r="K829" i="1"/>
  <c r="I829" i="1"/>
  <c r="K828" i="1"/>
  <c r="I828" i="1"/>
  <c r="K827" i="1"/>
  <c r="I827" i="1"/>
  <c r="K826" i="1"/>
  <c r="I826" i="1"/>
  <c r="K825" i="1"/>
  <c r="I825" i="1"/>
  <c r="K824" i="1"/>
  <c r="I824" i="1"/>
  <c r="K823" i="1"/>
  <c r="I823" i="1"/>
  <c r="K822" i="1"/>
  <c r="I822" i="1"/>
  <c r="K821" i="1"/>
  <c r="I821" i="1"/>
  <c r="K820" i="1"/>
  <c r="I820" i="1"/>
  <c r="K819" i="1"/>
  <c r="I819" i="1"/>
  <c r="K818" i="1"/>
  <c r="I818" i="1"/>
  <c r="K817" i="1"/>
  <c r="I817" i="1"/>
  <c r="K816" i="1"/>
  <c r="I816" i="1"/>
  <c r="K815" i="1"/>
  <c r="I815" i="1"/>
  <c r="K814" i="1"/>
  <c r="I814" i="1"/>
  <c r="K813" i="1"/>
  <c r="I813" i="1"/>
  <c r="E9" i="7"/>
  <c r="K800" i="1" l="1"/>
  <c r="I800" i="1"/>
  <c r="K807" i="1"/>
  <c r="I807" i="1"/>
  <c r="K810" i="1"/>
  <c r="I810" i="1"/>
  <c r="K811" i="1"/>
  <c r="I811" i="1"/>
  <c r="K809" i="1"/>
  <c r="I809" i="1"/>
  <c r="K808" i="1"/>
  <c r="I808" i="1"/>
  <c r="K806" i="1"/>
  <c r="I806" i="1"/>
  <c r="K805" i="1"/>
  <c r="I805" i="1"/>
  <c r="K804" i="1"/>
  <c r="I804" i="1"/>
  <c r="K803" i="1"/>
  <c r="I803" i="1"/>
  <c r="K802" i="1"/>
  <c r="I802" i="1"/>
  <c r="K801" i="1"/>
  <c r="I801" i="1"/>
  <c r="K797" i="1"/>
  <c r="I797" i="1"/>
  <c r="K799" i="1"/>
  <c r="I799" i="1"/>
  <c r="K798" i="1"/>
  <c r="I798" i="1"/>
  <c r="K796" i="1"/>
  <c r="I796" i="1"/>
  <c r="K812" i="1"/>
  <c r="I812" i="1"/>
  <c r="K795" i="1"/>
  <c r="I795" i="1"/>
  <c r="K794" i="1"/>
  <c r="I794" i="1"/>
  <c r="K791" i="1"/>
  <c r="I791" i="1"/>
  <c r="K793" i="1"/>
  <c r="I793" i="1"/>
  <c r="K792" i="1"/>
  <c r="I792" i="1"/>
  <c r="K790" i="1"/>
  <c r="I790" i="1"/>
  <c r="K789" i="1"/>
  <c r="I789" i="1"/>
  <c r="K788" i="1"/>
  <c r="I788" i="1"/>
  <c r="K787" i="1"/>
  <c r="I787" i="1"/>
  <c r="K786" i="1"/>
  <c r="I786" i="1"/>
  <c r="K770" i="1"/>
  <c r="I770" i="1"/>
  <c r="K777" i="1"/>
  <c r="I777" i="1"/>
  <c r="K780" i="1"/>
  <c r="I780" i="1"/>
  <c r="K781" i="1"/>
  <c r="I781" i="1"/>
  <c r="K779" i="1"/>
  <c r="I779" i="1"/>
  <c r="K778" i="1"/>
  <c r="I778" i="1"/>
  <c r="K776" i="1"/>
  <c r="I776" i="1"/>
  <c r="K775" i="1"/>
  <c r="I775" i="1"/>
  <c r="K774" i="1"/>
  <c r="I774" i="1"/>
  <c r="K773" i="1"/>
  <c r="I773" i="1"/>
  <c r="K772" i="1"/>
  <c r="I772" i="1"/>
  <c r="K766" i="1"/>
  <c r="I766" i="1"/>
  <c r="K771" i="1"/>
  <c r="I771" i="1"/>
  <c r="K767" i="1"/>
  <c r="I767" i="1"/>
  <c r="K769" i="1"/>
  <c r="I769" i="1"/>
  <c r="K768" i="1"/>
  <c r="I768" i="1"/>
  <c r="K765" i="1"/>
  <c r="I765" i="1"/>
  <c r="K782" i="1"/>
  <c r="I782" i="1"/>
  <c r="K764" i="1"/>
  <c r="I764" i="1"/>
  <c r="K763" i="1"/>
  <c r="I763" i="1"/>
  <c r="K760" i="1"/>
  <c r="I760" i="1"/>
  <c r="K762" i="1"/>
  <c r="I762" i="1"/>
  <c r="K761" i="1"/>
  <c r="I761" i="1"/>
  <c r="K759" i="1"/>
  <c r="I759" i="1"/>
  <c r="K758" i="1"/>
  <c r="I758" i="1"/>
  <c r="K757" i="1"/>
  <c r="I757" i="1"/>
  <c r="K756" i="1"/>
  <c r="I756" i="1"/>
  <c r="K755" i="1"/>
  <c r="I755" i="1"/>
  <c r="E8" i="7"/>
  <c r="E7" i="7"/>
  <c r="E10" i="7" s="1"/>
  <c r="I5" i="7" s="1"/>
  <c r="I7" i="7" s="1"/>
  <c r="I10" i="6" l="1"/>
  <c r="J10" i="6" s="1"/>
  <c r="R7" i="6" s="1"/>
  <c r="I754" i="1" l="1"/>
  <c r="K754" i="1"/>
  <c r="K753" i="1" l="1"/>
  <c r="I753" i="1"/>
  <c r="K752" i="1"/>
  <c r="I752" i="1"/>
  <c r="K751" i="1"/>
  <c r="I751" i="1"/>
  <c r="K750" i="1"/>
  <c r="I750" i="1"/>
  <c r="I725" i="1" l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I724" i="1"/>
  <c r="K713" i="1" l="1"/>
  <c r="I713" i="1"/>
  <c r="K723" i="1" l="1"/>
  <c r="I723" i="1"/>
  <c r="K722" i="1"/>
  <c r="I722" i="1"/>
  <c r="K721" i="1"/>
  <c r="I721" i="1"/>
  <c r="K720" i="1"/>
  <c r="I720" i="1"/>
  <c r="K719" i="1"/>
  <c r="I719" i="1"/>
  <c r="K718" i="1"/>
  <c r="I718" i="1"/>
  <c r="K717" i="1"/>
  <c r="I717" i="1"/>
  <c r="K716" i="1"/>
  <c r="I716" i="1"/>
  <c r="K715" i="1"/>
  <c r="I715" i="1"/>
  <c r="K710" i="1"/>
  <c r="I710" i="1"/>
  <c r="K714" i="1"/>
  <c r="I714" i="1"/>
  <c r="K712" i="1"/>
  <c r="I712" i="1"/>
  <c r="K711" i="1"/>
  <c r="I711" i="1"/>
  <c r="K709" i="1"/>
  <c r="I709" i="1"/>
  <c r="K708" i="1"/>
  <c r="I708" i="1"/>
  <c r="K707" i="1"/>
  <c r="I707" i="1"/>
  <c r="K705" i="1"/>
  <c r="I705" i="1"/>
  <c r="K704" i="1"/>
  <c r="I704" i="1"/>
  <c r="K703" i="1"/>
  <c r="I703" i="1"/>
  <c r="K702" i="1"/>
  <c r="I702" i="1"/>
  <c r="K706" i="1"/>
  <c r="I706" i="1"/>
  <c r="K701" i="1"/>
  <c r="I701" i="1"/>
  <c r="K700" i="1"/>
  <c r="I700" i="1"/>
  <c r="K699" i="1"/>
  <c r="I699" i="1"/>
  <c r="K698" i="1"/>
  <c r="I698" i="1"/>
  <c r="K697" i="1"/>
  <c r="I697" i="1"/>
  <c r="K696" i="1"/>
  <c r="I696" i="1"/>
  <c r="I9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8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I683" i="1" l="1"/>
  <c r="K683" i="1"/>
  <c r="I673" i="1" l="1"/>
  <c r="K673" i="1"/>
  <c r="K678" i="1"/>
  <c r="I678" i="1"/>
  <c r="K657" i="1" l="1"/>
  <c r="I657" i="1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J9" i="6"/>
  <c r="L10" i="6"/>
  <c r="J11" i="6"/>
  <c r="L11" i="6" s="1"/>
  <c r="M11" i="6" s="1"/>
  <c r="J12" i="6"/>
  <c r="J13" i="6"/>
  <c r="J14" i="6"/>
  <c r="J15" i="6"/>
  <c r="J16" i="6"/>
  <c r="L16" i="6" s="1"/>
  <c r="M16" i="6" s="1"/>
  <c r="J17" i="6"/>
  <c r="J18" i="6"/>
  <c r="J19" i="6"/>
  <c r="J20" i="6"/>
  <c r="J21" i="6"/>
  <c r="J22" i="6"/>
  <c r="J23" i="6"/>
  <c r="J24" i="6"/>
  <c r="L24" i="6" s="1"/>
  <c r="M24" i="6" s="1"/>
  <c r="G4" i="6"/>
  <c r="K8" i="6"/>
  <c r="S7" i="6" s="1"/>
  <c r="J8" i="6"/>
  <c r="L7" i="6"/>
  <c r="M7" i="6" s="1"/>
  <c r="L9" i="6" l="1"/>
  <c r="T7" i="6" s="1"/>
  <c r="L12" i="6"/>
  <c r="M12" i="6" s="1"/>
  <c r="L13" i="6"/>
  <c r="M13" i="6" s="1"/>
  <c r="L14" i="6"/>
  <c r="M14" i="6" s="1"/>
  <c r="L15" i="6"/>
  <c r="M15" i="6" s="1"/>
  <c r="L19" i="6"/>
  <c r="M19" i="6" s="1"/>
  <c r="L17" i="6"/>
  <c r="M17" i="6" s="1"/>
  <c r="L18" i="6"/>
  <c r="M18" i="6" s="1"/>
  <c r="L22" i="6"/>
  <c r="M22" i="6" s="1"/>
  <c r="L21" i="6"/>
  <c r="M21" i="6" s="1"/>
  <c r="L20" i="6"/>
  <c r="M20" i="6" s="1"/>
  <c r="L23" i="6"/>
  <c r="M23" i="6" s="1"/>
  <c r="M10" i="6"/>
  <c r="M9" i="6"/>
  <c r="L8" i="6"/>
  <c r="K685" i="1"/>
  <c r="I685" i="1"/>
  <c r="K688" i="1"/>
  <c r="I688" i="1"/>
  <c r="K689" i="1"/>
  <c r="I689" i="1"/>
  <c r="K681" i="1"/>
  <c r="I681" i="1"/>
  <c r="K668" i="1"/>
  <c r="I668" i="1"/>
  <c r="K672" i="1"/>
  <c r="I672" i="1"/>
  <c r="K676" i="1"/>
  <c r="I676" i="1"/>
  <c r="K686" i="1"/>
  <c r="I686" i="1"/>
  <c r="K680" i="1"/>
  <c r="I680" i="1"/>
  <c r="K690" i="1"/>
  <c r="I690" i="1"/>
  <c r="K691" i="1"/>
  <c r="I691" i="1"/>
  <c r="K695" i="1"/>
  <c r="I695" i="1"/>
  <c r="K693" i="1"/>
  <c r="I693" i="1"/>
  <c r="K692" i="1"/>
  <c r="I692" i="1"/>
  <c r="K687" i="1"/>
  <c r="I687" i="1"/>
  <c r="K671" i="1"/>
  <c r="I671" i="1"/>
  <c r="K682" i="1"/>
  <c r="I682" i="1"/>
  <c r="K675" i="1"/>
  <c r="I675" i="1"/>
  <c r="K674" i="1"/>
  <c r="I674" i="1"/>
  <c r="K670" i="1"/>
  <c r="I670" i="1"/>
  <c r="K679" i="1"/>
  <c r="I679" i="1"/>
  <c r="K677" i="1"/>
  <c r="I677" i="1"/>
  <c r="K684" i="1"/>
  <c r="I684" i="1"/>
  <c r="K669" i="1"/>
  <c r="I669" i="1"/>
  <c r="K667" i="1"/>
  <c r="I667" i="1"/>
  <c r="K639" i="1"/>
  <c r="I639" i="1"/>
  <c r="M8" i="6" l="1"/>
  <c r="N4" i="6"/>
  <c r="I4" i="6" l="1"/>
  <c r="L4" i="6" s="1"/>
  <c r="I636" i="1"/>
  <c r="K636" i="1"/>
  <c r="K653" i="1"/>
  <c r="I653" i="1"/>
  <c r="K652" i="1" l="1"/>
  <c r="I652" i="1"/>
  <c r="K660" i="1"/>
  <c r="I660" i="1"/>
  <c r="K659" i="1"/>
  <c r="I659" i="1"/>
  <c r="K658" i="1"/>
  <c r="I658" i="1"/>
  <c r="K654" i="1"/>
  <c r="I654" i="1"/>
  <c r="K649" i="1"/>
  <c r="I649" i="1"/>
  <c r="K648" i="1"/>
  <c r="I648" i="1"/>
  <c r="K643" i="1"/>
  <c r="I643" i="1"/>
  <c r="K651" i="1"/>
  <c r="I651" i="1"/>
  <c r="K666" i="1"/>
  <c r="I666" i="1"/>
  <c r="K665" i="1"/>
  <c r="I665" i="1"/>
  <c r="K664" i="1"/>
  <c r="I664" i="1"/>
  <c r="K663" i="1"/>
  <c r="I663" i="1"/>
  <c r="K662" i="1"/>
  <c r="I662" i="1"/>
  <c r="K661" i="1"/>
  <c r="I661" i="1"/>
  <c r="K656" i="1"/>
  <c r="I656" i="1"/>
  <c r="K655" i="1"/>
  <c r="I655" i="1"/>
  <c r="K642" i="1"/>
  <c r="I642" i="1"/>
  <c r="K641" i="1"/>
  <c r="I641" i="1"/>
  <c r="K638" i="1"/>
  <c r="I638" i="1"/>
  <c r="K637" i="1"/>
  <c r="I637" i="1"/>
  <c r="K646" i="1"/>
  <c r="I646" i="1"/>
  <c r="K645" i="1"/>
  <c r="I645" i="1"/>
  <c r="K644" i="1"/>
  <c r="I644" i="1"/>
  <c r="K647" i="1"/>
  <c r="I647" i="1"/>
  <c r="K640" i="1"/>
  <c r="I640" i="1"/>
  <c r="K650" i="1"/>
  <c r="I650" i="1"/>
  <c r="K620" i="1" l="1"/>
  <c r="K635" i="1" l="1"/>
  <c r="I635" i="1"/>
  <c r="R3" i="5"/>
  <c r="R5" i="5" s="1"/>
  <c r="Q5" i="5"/>
  <c r="K612" i="1"/>
  <c r="I612" i="1"/>
  <c r="K611" i="1"/>
  <c r="I611" i="1"/>
  <c r="K610" i="1"/>
  <c r="I610" i="1"/>
  <c r="K609" i="1"/>
  <c r="I609" i="1"/>
  <c r="K608" i="1"/>
  <c r="I608" i="1"/>
  <c r="K613" i="1"/>
  <c r="I613" i="1"/>
  <c r="K634" i="1"/>
  <c r="I634" i="1"/>
  <c r="I628" i="1"/>
  <c r="K628" i="1"/>
  <c r="P5" i="5"/>
  <c r="N566" i="1"/>
  <c r="K600" i="1" l="1"/>
  <c r="I600" i="1"/>
  <c r="I599" i="1" l="1"/>
  <c r="K599" i="1"/>
  <c r="K598" i="1" l="1"/>
  <c r="K597" i="1"/>
  <c r="K596" i="1"/>
  <c r="K595" i="1"/>
  <c r="K594" i="1"/>
  <c r="K593" i="1"/>
  <c r="K592" i="1"/>
  <c r="K591" i="1"/>
  <c r="K590" i="1"/>
  <c r="K58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M16" i="5" l="1"/>
  <c r="K19" i="5"/>
  <c r="K25" i="5"/>
  <c r="M15" i="5" s="1"/>
  <c r="M17" i="5" l="1"/>
  <c r="K607" i="1"/>
  <c r="I607" i="1"/>
  <c r="K627" i="1"/>
  <c r="I627" i="1"/>
  <c r="K626" i="1"/>
  <c r="I626" i="1"/>
  <c r="K633" i="1"/>
  <c r="I633" i="1"/>
  <c r="K632" i="1"/>
  <c r="I632" i="1"/>
  <c r="K631" i="1"/>
  <c r="I631" i="1"/>
  <c r="K630" i="1"/>
  <c r="I630" i="1"/>
  <c r="K629" i="1"/>
  <c r="I629" i="1"/>
  <c r="K625" i="1"/>
  <c r="I625" i="1"/>
  <c r="K624" i="1"/>
  <c r="I624" i="1"/>
  <c r="K623" i="1"/>
  <c r="I623" i="1"/>
  <c r="K622" i="1"/>
  <c r="I622" i="1"/>
  <c r="K621" i="1"/>
  <c r="I621" i="1"/>
  <c r="I620" i="1"/>
  <c r="K619" i="1"/>
  <c r="I619" i="1"/>
  <c r="K618" i="1"/>
  <c r="I618" i="1"/>
  <c r="K617" i="1"/>
  <c r="I617" i="1"/>
  <c r="K606" i="1"/>
  <c r="I606" i="1"/>
  <c r="K605" i="1"/>
  <c r="I605" i="1"/>
  <c r="K604" i="1"/>
  <c r="I604" i="1"/>
  <c r="K616" i="1"/>
  <c r="I616" i="1"/>
  <c r="K615" i="1"/>
  <c r="I615" i="1"/>
  <c r="K614" i="1"/>
  <c r="I614" i="1"/>
  <c r="K603" i="1"/>
  <c r="I603" i="1"/>
  <c r="K602" i="1"/>
  <c r="I602" i="1"/>
  <c r="K601" i="1"/>
  <c r="I601" i="1"/>
  <c r="K588" i="1"/>
  <c r="K587" i="1"/>
  <c r="K586" i="1"/>
  <c r="K585" i="1"/>
  <c r="K584" i="1"/>
  <c r="I584" i="1"/>
  <c r="K583" i="1"/>
  <c r="I583" i="1"/>
  <c r="K582" i="1"/>
  <c r="I582" i="1"/>
  <c r="K581" i="1"/>
  <c r="I581" i="1"/>
  <c r="K580" i="1"/>
  <c r="I580" i="1"/>
  <c r="K579" i="1"/>
  <c r="I579" i="1"/>
  <c r="K578" i="1"/>
  <c r="I578" i="1"/>
  <c r="K577" i="1"/>
  <c r="I577" i="1"/>
  <c r="K576" i="1"/>
  <c r="I576" i="1"/>
  <c r="K575" i="1"/>
  <c r="I575" i="1"/>
  <c r="K574" i="1"/>
  <c r="I574" i="1"/>
  <c r="K573" i="1"/>
  <c r="I573" i="1"/>
  <c r="K572" i="1"/>
  <c r="I572" i="1"/>
  <c r="K571" i="1"/>
  <c r="I571" i="1"/>
  <c r="K570" i="1"/>
  <c r="I570" i="1"/>
  <c r="K569" i="1"/>
  <c r="I569" i="1"/>
  <c r="K568" i="1"/>
  <c r="I568" i="1"/>
  <c r="K567" i="1"/>
  <c r="I567" i="1"/>
  <c r="K566" i="1"/>
  <c r="I566" i="1"/>
  <c r="K565" i="1"/>
  <c r="I565" i="1"/>
  <c r="K564" i="1"/>
  <c r="I564" i="1"/>
  <c r="K563" i="1"/>
  <c r="I563" i="1"/>
  <c r="K562" i="1"/>
  <c r="I562" i="1"/>
  <c r="K561" i="1"/>
  <c r="I561" i="1"/>
  <c r="I560" i="1"/>
  <c r="K560" i="1"/>
  <c r="I558" i="1"/>
  <c r="I559" i="1"/>
  <c r="K558" i="1"/>
  <c r="K559" i="1"/>
  <c r="K557" i="1" l="1"/>
  <c r="I557" i="1"/>
  <c r="K556" i="1"/>
  <c r="I556" i="1"/>
  <c r="K555" i="1"/>
  <c r="I555" i="1"/>
  <c r="K554" i="1"/>
  <c r="I554" i="1"/>
  <c r="K553" i="1"/>
  <c r="I553" i="1"/>
  <c r="K552" i="1"/>
  <c r="I552" i="1"/>
  <c r="K551" i="1"/>
  <c r="I551" i="1"/>
  <c r="K550" i="1"/>
  <c r="I550" i="1"/>
  <c r="K549" i="1"/>
  <c r="I549" i="1"/>
  <c r="K548" i="1"/>
  <c r="I548" i="1"/>
  <c r="K547" i="1"/>
  <c r="I547" i="1"/>
  <c r="K546" i="1"/>
  <c r="I546" i="1"/>
  <c r="K545" i="1"/>
  <c r="I545" i="1"/>
  <c r="K544" i="1"/>
  <c r="I544" i="1"/>
  <c r="K543" i="1"/>
  <c r="I543" i="1"/>
  <c r="K542" i="1"/>
  <c r="I542" i="1"/>
  <c r="K541" i="1"/>
  <c r="I541" i="1"/>
  <c r="K540" i="1"/>
  <c r="I540" i="1"/>
  <c r="K539" i="1"/>
  <c r="I539" i="1"/>
  <c r="K538" i="1"/>
  <c r="I538" i="1"/>
  <c r="K537" i="1"/>
  <c r="I537" i="1"/>
  <c r="K536" i="1"/>
  <c r="I536" i="1"/>
  <c r="K535" i="1"/>
  <c r="I535" i="1"/>
  <c r="K534" i="1"/>
  <c r="I534" i="1"/>
  <c r="K533" i="1"/>
  <c r="I533" i="1"/>
  <c r="K532" i="1"/>
  <c r="I532" i="1"/>
  <c r="K531" i="1"/>
  <c r="I531" i="1"/>
  <c r="K515" i="1" l="1"/>
  <c r="K530" i="1"/>
  <c r="I530" i="1"/>
  <c r="K508" i="1"/>
  <c r="I508" i="1"/>
  <c r="K503" i="1"/>
  <c r="I503" i="1"/>
  <c r="K529" i="1"/>
  <c r="I529" i="1"/>
  <c r="K528" i="1"/>
  <c r="I528" i="1"/>
  <c r="K527" i="1"/>
  <c r="I527" i="1"/>
  <c r="K526" i="1"/>
  <c r="I526" i="1"/>
  <c r="K525" i="1"/>
  <c r="I525" i="1"/>
  <c r="K524" i="1"/>
  <c r="I524" i="1"/>
  <c r="K523" i="1"/>
  <c r="I523" i="1"/>
  <c r="K522" i="1"/>
  <c r="I522" i="1"/>
  <c r="K521" i="1"/>
  <c r="I521" i="1"/>
  <c r="K520" i="1"/>
  <c r="I520" i="1"/>
  <c r="K519" i="1"/>
  <c r="I519" i="1"/>
  <c r="K518" i="1"/>
  <c r="I518" i="1"/>
  <c r="K517" i="1"/>
  <c r="I517" i="1"/>
  <c r="K516" i="1"/>
  <c r="I516" i="1"/>
  <c r="I515" i="1"/>
  <c r="K514" i="1"/>
  <c r="I514" i="1"/>
  <c r="K513" i="1"/>
  <c r="I513" i="1"/>
  <c r="K512" i="1"/>
  <c r="I512" i="1"/>
  <c r="K511" i="1"/>
  <c r="I511" i="1"/>
  <c r="K510" i="1"/>
  <c r="I510" i="1"/>
  <c r="K509" i="1"/>
  <c r="I509" i="1"/>
  <c r="K507" i="1"/>
  <c r="I507" i="1"/>
  <c r="K506" i="1"/>
  <c r="I506" i="1"/>
  <c r="K505" i="1"/>
  <c r="I505" i="1"/>
  <c r="K504" i="1"/>
  <c r="I504" i="1"/>
  <c r="K502" i="1"/>
  <c r="I502" i="1"/>
  <c r="K501" i="1"/>
  <c r="I501" i="1"/>
  <c r="K500" i="1"/>
  <c r="I500" i="1"/>
  <c r="K499" i="1"/>
  <c r="I499" i="1"/>
  <c r="K476" i="1"/>
  <c r="I476" i="1"/>
  <c r="K469" i="1" l="1"/>
  <c r="K470" i="1"/>
  <c r="K498" i="1"/>
  <c r="K471" i="1"/>
  <c r="K472" i="1"/>
  <c r="K473" i="1"/>
  <c r="K474" i="1"/>
  <c r="K475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I497" i="1"/>
  <c r="K497" i="1"/>
  <c r="I498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5" i="1"/>
  <c r="I474" i="1"/>
  <c r="I473" i="1"/>
  <c r="I472" i="1"/>
  <c r="I471" i="1"/>
  <c r="I470" i="1"/>
  <c r="I469" i="1"/>
  <c r="K468" i="1" l="1"/>
  <c r="I468" i="1"/>
  <c r="K467" i="1"/>
  <c r="I467" i="1"/>
  <c r="K466" i="1"/>
  <c r="I466" i="1"/>
  <c r="K465" i="1"/>
  <c r="I465" i="1"/>
  <c r="K464" i="1"/>
  <c r="I464" i="1"/>
  <c r="K463" i="1"/>
  <c r="I463" i="1"/>
  <c r="K462" i="1"/>
  <c r="I462" i="1"/>
  <c r="K461" i="1"/>
  <c r="I461" i="1"/>
  <c r="K460" i="1"/>
  <c r="I460" i="1"/>
  <c r="K459" i="1"/>
  <c r="I459" i="1"/>
  <c r="K458" i="1"/>
  <c r="I458" i="1"/>
  <c r="K457" i="1"/>
  <c r="I457" i="1"/>
  <c r="K456" i="1"/>
  <c r="I456" i="1"/>
  <c r="K455" i="1"/>
  <c r="I455" i="1"/>
  <c r="K454" i="1"/>
  <c r="I454" i="1"/>
  <c r="K453" i="1"/>
  <c r="I453" i="1"/>
  <c r="K452" i="1"/>
  <c r="I452" i="1"/>
  <c r="K451" i="1"/>
  <c r="I451" i="1"/>
  <c r="K450" i="1"/>
  <c r="I450" i="1"/>
  <c r="K449" i="1"/>
  <c r="I449" i="1"/>
  <c r="K448" i="1"/>
  <c r="I448" i="1"/>
  <c r="K447" i="1"/>
  <c r="I447" i="1"/>
  <c r="K446" i="1"/>
  <c r="I446" i="1"/>
  <c r="K445" i="1"/>
  <c r="I445" i="1"/>
  <c r="K444" i="1"/>
  <c r="I444" i="1"/>
  <c r="K443" i="1"/>
  <c r="I443" i="1"/>
  <c r="K442" i="1"/>
  <c r="I442" i="1"/>
  <c r="K441" i="1"/>
  <c r="I441" i="1"/>
  <c r="K440" i="1"/>
  <c r="I440" i="1"/>
  <c r="D9" i="5" l="1"/>
  <c r="E2" i="5"/>
  <c r="E3" i="5"/>
  <c r="E4" i="5"/>
  <c r="E5" i="5"/>
  <c r="E6" i="5"/>
  <c r="E7" i="5"/>
  <c r="E8" i="5"/>
  <c r="E9" i="5" s="1"/>
  <c r="H8" i="5"/>
  <c r="H4" i="5"/>
  <c r="H3" i="5"/>
  <c r="H2" i="5"/>
  <c r="H7" i="5"/>
  <c r="H5" i="5"/>
  <c r="H6" i="5"/>
  <c r="G8" i="5"/>
  <c r="G4" i="5"/>
  <c r="G3" i="5"/>
  <c r="G2" i="5"/>
  <c r="G7" i="5"/>
  <c r="G5" i="5"/>
  <c r="G6" i="5"/>
  <c r="I420" i="1" l="1"/>
  <c r="K411" i="1"/>
  <c r="I411" i="1"/>
  <c r="K420" i="1"/>
  <c r="K416" i="1"/>
  <c r="K417" i="1"/>
  <c r="K418" i="1"/>
  <c r="K419" i="1"/>
  <c r="K432" i="1"/>
  <c r="K433" i="1"/>
  <c r="K409" i="1"/>
  <c r="K410" i="1"/>
  <c r="K434" i="1"/>
  <c r="K421" i="1"/>
  <c r="K435" i="1"/>
  <c r="K422" i="1"/>
  <c r="K423" i="1"/>
  <c r="K436" i="1"/>
  <c r="K437" i="1"/>
  <c r="K424" i="1"/>
  <c r="K425" i="1"/>
  <c r="K438" i="1"/>
  <c r="K439" i="1"/>
  <c r="K426" i="1"/>
  <c r="K427" i="1"/>
  <c r="K428" i="1"/>
  <c r="K429" i="1"/>
  <c r="K430" i="1"/>
  <c r="K431" i="1"/>
  <c r="K412" i="1"/>
  <c r="K413" i="1"/>
  <c r="K414" i="1"/>
  <c r="K408" i="1"/>
  <c r="K415" i="1"/>
  <c r="I414" i="1"/>
  <c r="I413" i="1"/>
  <c r="I412" i="1"/>
  <c r="I431" i="1"/>
  <c r="I430" i="1"/>
  <c r="I429" i="1"/>
  <c r="I428" i="1"/>
  <c r="I427" i="1"/>
  <c r="I426" i="1"/>
  <c r="I439" i="1"/>
  <c r="I438" i="1"/>
  <c r="I425" i="1"/>
  <c r="I424" i="1"/>
  <c r="I437" i="1"/>
  <c r="I436" i="1"/>
  <c r="I423" i="1"/>
  <c r="I422" i="1"/>
  <c r="I435" i="1"/>
  <c r="I421" i="1"/>
  <c r="I434" i="1"/>
  <c r="I410" i="1"/>
  <c r="I409" i="1"/>
  <c r="I433" i="1"/>
  <c r="I432" i="1"/>
  <c r="I419" i="1"/>
  <c r="I418" i="1"/>
  <c r="I417" i="1"/>
  <c r="I416" i="1"/>
  <c r="I415" i="1"/>
  <c r="K394" i="1" l="1"/>
  <c r="I394" i="1"/>
  <c r="K404" i="1"/>
  <c r="I404" i="1"/>
  <c r="K380" i="1" l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5" i="1"/>
  <c r="K396" i="1"/>
  <c r="K397" i="1"/>
  <c r="K398" i="1"/>
  <c r="K399" i="1"/>
  <c r="K400" i="1"/>
  <c r="K401" i="1"/>
  <c r="K402" i="1"/>
  <c r="K403" i="1"/>
  <c r="K405" i="1"/>
  <c r="K406" i="1"/>
  <c r="K407" i="1"/>
  <c r="I408" i="1"/>
  <c r="I407" i="1"/>
  <c r="I406" i="1"/>
  <c r="I405" i="1"/>
  <c r="I403" i="1"/>
  <c r="I402" i="1"/>
  <c r="I401" i="1"/>
  <c r="I400" i="1"/>
  <c r="I399" i="1"/>
  <c r="I398" i="1"/>
  <c r="I397" i="1"/>
  <c r="I396" i="1"/>
  <c r="I395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E32" i="4" l="1"/>
  <c r="I350" i="1" l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G4" i="4" l="1"/>
  <c r="H4" i="4" s="1"/>
  <c r="I4" i="4" s="1"/>
  <c r="G5" i="4"/>
  <c r="H5" i="4" s="1"/>
  <c r="I5" i="4" s="1"/>
  <c r="G6" i="4"/>
  <c r="H6" i="4" s="1"/>
  <c r="I6" i="4" s="1"/>
  <c r="G7" i="4"/>
  <c r="H7" i="4" s="1"/>
  <c r="I7" i="4" s="1"/>
  <c r="G8" i="4"/>
  <c r="H8" i="4" s="1"/>
  <c r="I8" i="4" s="1"/>
  <c r="G9" i="4"/>
  <c r="H9" i="4" s="1"/>
  <c r="I9" i="4" s="1"/>
  <c r="G10" i="4"/>
  <c r="H10" i="4" s="1"/>
  <c r="I10" i="4" s="1"/>
  <c r="G11" i="4"/>
  <c r="H11" i="4" s="1"/>
  <c r="I11" i="4" s="1"/>
  <c r="G12" i="4"/>
  <c r="H12" i="4" s="1"/>
  <c r="I12" i="4" s="1"/>
  <c r="G13" i="4"/>
  <c r="H13" i="4" s="1"/>
  <c r="I13" i="4" s="1"/>
  <c r="G14" i="4"/>
  <c r="H14" i="4" s="1"/>
  <c r="I14" i="4" s="1"/>
  <c r="G15" i="4"/>
  <c r="H15" i="4" s="1"/>
  <c r="I15" i="4" s="1"/>
  <c r="G16" i="4"/>
  <c r="H16" i="4" s="1"/>
  <c r="I16" i="4" s="1"/>
  <c r="G17" i="4"/>
  <c r="H17" i="4" s="1"/>
  <c r="I17" i="4" s="1"/>
  <c r="G18" i="4"/>
  <c r="H18" i="4" s="1"/>
  <c r="I18" i="4" s="1"/>
  <c r="G19" i="4"/>
  <c r="H19" i="4" s="1"/>
  <c r="I19" i="4" s="1"/>
  <c r="G20" i="4"/>
  <c r="H20" i="4" s="1"/>
  <c r="I20" i="4" s="1"/>
  <c r="G3" i="4"/>
  <c r="H3" i="4" s="1"/>
  <c r="I3" i="4" s="1"/>
  <c r="I342" i="1" l="1"/>
  <c r="I326" i="1"/>
  <c r="I327" i="1"/>
  <c r="I328" i="1"/>
  <c r="I329" i="1"/>
  <c r="I338" i="1"/>
  <c r="I339" i="1"/>
  <c r="I330" i="1"/>
  <c r="I345" i="1"/>
  <c r="I331" i="1"/>
  <c r="I340" i="1"/>
  <c r="I341" i="1"/>
  <c r="K341" i="1"/>
  <c r="K340" i="1"/>
  <c r="K332" i="1" l="1"/>
  <c r="K333" i="1"/>
  <c r="K343" i="1"/>
  <c r="K336" i="1"/>
  <c r="K346" i="1"/>
  <c r="K347" i="1"/>
  <c r="K348" i="1"/>
  <c r="K349" i="1"/>
  <c r="K350" i="1"/>
  <c r="K324" i="1"/>
  <c r="K325" i="1"/>
  <c r="K344" i="1"/>
  <c r="K334" i="1"/>
  <c r="K335" i="1"/>
  <c r="K337" i="1"/>
  <c r="K351" i="1"/>
  <c r="K342" i="1"/>
  <c r="K326" i="1"/>
  <c r="K327" i="1"/>
  <c r="K328" i="1"/>
  <c r="K329" i="1"/>
  <c r="K338" i="1"/>
  <c r="K339" i="1"/>
  <c r="K330" i="1"/>
  <c r="K345" i="1"/>
  <c r="K331" i="1"/>
  <c r="K352" i="1"/>
  <c r="I337" i="1"/>
  <c r="I335" i="1"/>
  <c r="I334" i="1"/>
  <c r="I344" i="1"/>
  <c r="I325" i="1"/>
  <c r="I324" i="1"/>
  <c r="I349" i="1"/>
  <c r="I348" i="1"/>
  <c r="I347" i="1"/>
  <c r="I346" i="1"/>
  <c r="I336" i="1"/>
  <c r="I343" i="1"/>
  <c r="I333" i="1"/>
  <c r="I332" i="1"/>
  <c r="K323" i="1" l="1"/>
  <c r="I32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" i="1"/>
  <c r="K20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I305" i="1"/>
  <c r="I322" i="1"/>
  <c r="I30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" i="1"/>
  <c r="I20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6" i="1"/>
  <c r="I307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J3" i="2"/>
  <c r="J2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B27" i="3"/>
  <c r="B16" i="3"/>
  <c r="B17" i="3"/>
  <c r="H12" i="3"/>
  <c r="G12" i="3"/>
  <c r="C11" i="3"/>
  <c r="B24" i="3" s="1"/>
  <c r="B25" i="3" s="1"/>
  <c r="E20" i="1"/>
  <c r="E19" i="1"/>
  <c r="E22" i="1"/>
  <c r="E21" i="1"/>
  <c r="E23" i="1"/>
  <c r="E37" i="1"/>
  <c r="E24" i="1"/>
  <c r="E25" i="1"/>
  <c r="E26" i="1"/>
  <c r="E27" i="1"/>
  <c r="E28" i="1"/>
  <c r="E29" i="1"/>
  <c r="E30" i="1"/>
  <c r="E38" i="1"/>
  <c r="E31" i="1"/>
  <c r="E32" i="1"/>
  <c r="E33" i="1"/>
  <c r="E34" i="1"/>
  <c r="E35" i="1"/>
  <c r="E36" i="1"/>
  <c r="E40" i="1"/>
  <c r="E39" i="1"/>
  <c r="E41" i="1"/>
  <c r="E51" i="1"/>
  <c r="E42" i="1"/>
  <c r="E43" i="1"/>
  <c r="E44" i="1"/>
  <c r="E45" i="1"/>
  <c r="E46" i="1"/>
  <c r="E47" i="1"/>
  <c r="E48" i="1"/>
  <c r="E52" i="1"/>
  <c r="E49" i="1"/>
  <c r="E50" i="1"/>
  <c r="E54" i="1"/>
  <c r="E53" i="1"/>
  <c r="E55" i="1"/>
  <c r="E65" i="1"/>
  <c r="E56" i="1"/>
  <c r="E57" i="1"/>
  <c r="E58" i="1"/>
  <c r="E59" i="1"/>
  <c r="E60" i="1"/>
  <c r="E61" i="1"/>
  <c r="E62" i="1"/>
  <c r="E66" i="1"/>
  <c r="E63" i="1"/>
  <c r="E64" i="1"/>
  <c r="E69" i="1"/>
  <c r="E73" i="1"/>
  <c r="E80" i="1"/>
  <c r="E75" i="1"/>
  <c r="E74" i="1"/>
  <c r="E76" i="1"/>
  <c r="E67" i="1"/>
  <c r="E79" i="1"/>
  <c r="E77" i="1"/>
  <c r="E81" i="1"/>
  <c r="E78" i="1"/>
  <c r="E72" i="1"/>
  <c r="E71" i="1"/>
  <c r="E68" i="1"/>
  <c r="E70" i="1"/>
  <c r="E84" i="1"/>
  <c r="E85" i="1"/>
  <c r="E82" i="1"/>
  <c r="E86" i="1"/>
  <c r="E83" i="1"/>
  <c r="E87" i="1"/>
  <c r="E88" i="1"/>
  <c r="E89" i="1"/>
  <c r="E90" i="1"/>
  <c r="E91" i="1"/>
  <c r="E92" i="1"/>
  <c r="E93" i="1"/>
  <c r="E94" i="1"/>
  <c r="E97" i="1"/>
  <c r="E95" i="1"/>
  <c r="E96" i="1"/>
  <c r="E100" i="1"/>
  <c r="E98" i="1"/>
  <c r="E101" i="1"/>
  <c r="E99" i="1"/>
  <c r="E102" i="1"/>
  <c r="E103" i="1"/>
  <c r="E104" i="1"/>
  <c r="E105" i="1"/>
  <c r="E106" i="1"/>
  <c r="E107" i="1"/>
  <c r="E108" i="1"/>
  <c r="E109" i="1"/>
  <c r="E113" i="1"/>
  <c r="E110" i="1"/>
  <c r="E111" i="1"/>
  <c r="E112" i="1"/>
  <c r="E116" i="1"/>
  <c r="E114" i="1"/>
  <c r="E117" i="1"/>
  <c r="E115" i="1"/>
  <c r="E118" i="1"/>
  <c r="E119" i="1"/>
  <c r="E120" i="1"/>
  <c r="E121" i="1"/>
  <c r="E122" i="1"/>
  <c r="E123" i="1"/>
  <c r="E124" i="1"/>
  <c r="E128" i="1"/>
  <c r="E125" i="1"/>
  <c r="E126" i="1"/>
  <c r="E127" i="1"/>
  <c r="E131" i="1"/>
  <c r="E129" i="1"/>
  <c r="E132" i="1"/>
  <c r="E130" i="1"/>
  <c r="E133" i="1"/>
  <c r="E134" i="1"/>
  <c r="E135" i="1"/>
  <c r="E136" i="1"/>
  <c r="E137" i="1"/>
  <c r="E138" i="1"/>
  <c r="E139" i="1"/>
  <c r="E143" i="1"/>
  <c r="E140" i="1"/>
  <c r="E141" i="1"/>
  <c r="E142" i="1"/>
  <c r="E146" i="1"/>
  <c r="E144" i="1"/>
  <c r="E147" i="1"/>
  <c r="E145" i="1"/>
  <c r="E148" i="1"/>
  <c r="E149" i="1"/>
  <c r="E150" i="1"/>
  <c r="E151" i="1"/>
  <c r="E152" i="1"/>
  <c r="E153" i="1"/>
  <c r="E154" i="1"/>
  <c r="E159" i="1"/>
  <c r="E155" i="1"/>
  <c r="E156" i="1"/>
  <c r="E157" i="1"/>
  <c r="E158" i="1"/>
  <c r="E162" i="1"/>
  <c r="E160" i="1"/>
  <c r="E163" i="1"/>
  <c r="E161" i="1"/>
  <c r="E164" i="1"/>
  <c r="E165" i="1"/>
  <c r="E166" i="1"/>
  <c r="E167" i="1"/>
  <c r="E168" i="1"/>
  <c r="E169" i="1"/>
  <c r="E170" i="1"/>
  <c r="E171" i="1"/>
  <c r="E172" i="1"/>
  <c r="E176" i="1"/>
  <c r="E173" i="1"/>
  <c r="E174" i="1"/>
  <c r="E175" i="1"/>
  <c r="E179" i="1"/>
  <c r="E177" i="1"/>
  <c r="E180" i="1"/>
  <c r="E178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I12" i="3" l="1"/>
  <c r="B19" i="3" s="1"/>
  <c r="B18" i="3"/>
  <c r="B28" i="3"/>
  <c r="E3" i="1"/>
  <c r="E4" i="1"/>
  <c r="E5" i="1"/>
  <c r="E6" i="1"/>
  <c r="E12" i="1"/>
  <c r="E7" i="1"/>
  <c r="E8" i="1"/>
  <c r="E9" i="1"/>
  <c r="E10" i="1"/>
  <c r="E11" i="1"/>
  <c r="E14" i="1"/>
  <c r="E13" i="1"/>
  <c r="E15" i="1"/>
  <c r="E18" i="1"/>
  <c r="E16" i="1"/>
  <c r="E17" i="1"/>
  <c r="E2" i="1"/>
  <c r="B20" i="3" l="1"/>
</calcChain>
</file>

<file path=xl/sharedStrings.xml><?xml version="1.0" encoding="utf-8"?>
<sst xmlns="http://schemas.openxmlformats.org/spreadsheetml/2006/main" count="3308" uniqueCount="308">
  <si>
    <t>MesAnio</t>
  </si>
  <si>
    <t>Item</t>
  </si>
  <si>
    <t>Importe</t>
  </si>
  <si>
    <t>Rubro</t>
  </si>
  <si>
    <t>Condición</t>
  </si>
  <si>
    <t>Cuotas</t>
  </si>
  <si>
    <t>Cant de Cuotas</t>
  </si>
  <si>
    <t>Nro Cuota</t>
  </si>
  <si>
    <t>Detalle fijo</t>
  </si>
  <si>
    <t>Fijo</t>
  </si>
  <si>
    <t>Cond de Pago</t>
  </si>
  <si>
    <t>Pagado</t>
  </si>
  <si>
    <t>Cuotas en</t>
  </si>
  <si>
    <t>Condiciones del Fijo</t>
  </si>
  <si>
    <t>Condiciones de pago</t>
  </si>
  <si>
    <t>CuotaJuan     </t>
  </si>
  <si>
    <t>Juan</t>
  </si>
  <si>
    <t>Gastos del mes pagar Papi</t>
  </si>
  <si>
    <t>Expensas</t>
  </si>
  <si>
    <t>Depto</t>
  </si>
  <si>
    <t>Gastos del mes debitables</t>
  </si>
  <si>
    <t>A pagar</t>
  </si>
  <si>
    <t>Internet          </t>
  </si>
  <si>
    <t>Servicios</t>
  </si>
  <si>
    <t>Gastos variables del mes a pagar</t>
  </si>
  <si>
    <t>En reserva</t>
  </si>
  <si>
    <t>Star+                </t>
  </si>
  <si>
    <t>Subscripción</t>
  </si>
  <si>
    <t>Cobro Mensual</t>
  </si>
  <si>
    <t>Xbox                </t>
  </si>
  <si>
    <t>RegaloJ(3/6)</t>
  </si>
  <si>
    <t>Viaje               </t>
  </si>
  <si>
    <t>Viajes</t>
  </si>
  <si>
    <t>RemerasJ      </t>
  </si>
  <si>
    <t>Trabajo</t>
  </si>
  <si>
    <t>Ingreso</t>
  </si>
  <si>
    <t>Beca</t>
  </si>
  <si>
    <t>Gym        </t>
  </si>
  <si>
    <t>Salud</t>
  </si>
  <si>
    <t>RegaloJ(4/6)</t>
  </si>
  <si>
    <t>RegaloPa       </t>
  </si>
  <si>
    <t>Varios</t>
  </si>
  <si>
    <t>RegaloJ(5/6)</t>
  </si>
  <si>
    <t>Piñón               </t>
  </si>
  <si>
    <t>LicenciaJuan </t>
  </si>
  <si>
    <t>Spotify            </t>
  </si>
  <si>
    <t>Boletos           </t>
  </si>
  <si>
    <t>Finde              </t>
  </si>
  <si>
    <t>RegaloMa     </t>
  </si>
  <si>
    <t>RegaloMax   </t>
  </si>
  <si>
    <t>RegaloG        </t>
  </si>
  <si>
    <t>Prego</t>
  </si>
  <si>
    <t>Comida</t>
  </si>
  <si>
    <t>RegaloJ(6/6)</t>
  </si>
  <si>
    <t>Google+        </t>
  </si>
  <si>
    <t>Monitor(1/5)</t>
  </si>
  <si>
    <t>Compras</t>
  </si>
  <si>
    <t>Stand(1/6)      </t>
  </si>
  <si>
    <t>• Stick(1/6)        </t>
  </si>
  <si>
    <t>Monitor(2/5)</t>
  </si>
  <si>
    <t>Stand(2/6)      </t>
  </si>
  <si>
    <t>AguinaldoJ    </t>
  </si>
  <si>
    <t>Monitor(3/5)</t>
  </si>
  <si>
    <t>Stand(3/6)      </t>
  </si>
  <si>
    <t>Monitor(4/5)</t>
  </si>
  <si>
    <t>Stand(4/6)      </t>
  </si>
  <si>
    <t>• Stick(2/6)        </t>
  </si>
  <si>
    <t>CarreraJ        </t>
  </si>
  <si>
    <t>Monitor(5/5)</t>
  </si>
  <si>
    <t>Stand(5/6)      </t>
  </si>
  <si>
    <t>• Stick(3/6)        </t>
  </si>
  <si>
    <t>Bicla               </t>
  </si>
  <si>
    <t>Bici(1/5)        </t>
  </si>
  <si>
    <t>Stand(6/6)     </t>
  </si>
  <si>
    <t>• Stick(4/6)       </t>
  </si>
  <si>
    <t>CarreraJuan </t>
  </si>
  <si>
    <t>Bici(2/5)        </t>
  </si>
  <si>
    <t>Stick(5/6)       </t>
  </si>
  <si>
    <t>• Auris(1/6)      </t>
  </si>
  <si>
    <t>Apse               </t>
  </si>
  <si>
    <t>Bici(3/5)        </t>
  </si>
  <si>
    <t>• Cuotaalquil  </t>
  </si>
  <si>
    <t>Stick(6/6)       </t>
  </si>
  <si>
    <t>Auris(2/6)      </t>
  </si>
  <si>
    <t>Obsequios     </t>
  </si>
  <si>
    <t>Kine                </t>
  </si>
  <si>
    <t>CuotaJuan</t>
  </si>
  <si>
    <t>Bici(4/5)        </t>
  </si>
  <si>
    <t>Luz                   </t>
  </si>
  <si>
    <t>Auris(3/6)      </t>
  </si>
  <si>
    <t>(Vacas)            </t>
  </si>
  <si>
    <t>Vacaciones</t>
  </si>
  <si>
    <t> Prego              </t>
  </si>
  <si>
    <t> Kine                </t>
  </si>
  <si>
    <t>Bicicross</t>
  </si>
  <si>
    <t>Gasto</t>
  </si>
  <si>
    <t>Youtube</t>
  </si>
  <si>
    <t>Monotributo</t>
  </si>
  <si>
    <t>Internet</t>
  </si>
  <si>
    <t>Bici(5/5)</t>
  </si>
  <si>
    <t>Luz</t>
  </si>
  <si>
    <t>Auris(4/6)</t>
  </si>
  <si>
    <t>Xbox</t>
  </si>
  <si>
    <t>Spotify</t>
  </si>
  <si>
    <t>Google</t>
  </si>
  <si>
    <t>Amazon</t>
  </si>
  <si>
    <t>(Vacas)</t>
  </si>
  <si>
    <t>Obsequios</t>
  </si>
  <si>
    <t> Kine</t>
  </si>
  <si>
    <t>Seguro bmx</t>
  </si>
  <si>
    <t>Carrera bmx</t>
  </si>
  <si>
    <t>Utiles colegio</t>
  </si>
  <si>
    <t>Micro</t>
  </si>
  <si>
    <t>PC</t>
  </si>
  <si>
    <t>SSD NVMe</t>
  </si>
  <si>
    <t>Herramientas</t>
  </si>
  <si>
    <t>Open English</t>
  </si>
  <si>
    <t>Auris(5/6)</t>
  </si>
  <si>
    <t>Creditos</t>
  </si>
  <si>
    <t>River ❤️</t>
  </si>
  <si>
    <t>Auris(6/6)</t>
  </si>
  <si>
    <t>Microfono</t>
  </si>
  <si>
    <t>TV</t>
  </si>
  <si>
    <t>Yerba</t>
  </si>
  <si>
    <t>Asado</t>
  </si>
  <si>
    <t>Mueble</t>
  </si>
  <si>
    <t>Copmras</t>
  </si>
  <si>
    <t>Emac</t>
  </si>
  <si>
    <t>Carrera</t>
  </si>
  <si>
    <t>Super</t>
  </si>
  <si>
    <t>Kine</t>
  </si>
  <si>
    <t>Viaje Estudio</t>
  </si>
  <si>
    <t>Pago Unico</t>
  </si>
  <si>
    <t>Alquiler</t>
  </si>
  <si>
    <t>Comida Mes</t>
  </si>
  <si>
    <t>Cobro</t>
  </si>
  <si>
    <t>Retractivo</t>
  </si>
  <si>
    <t>En Cuotas</t>
  </si>
  <si>
    <t>Adelanto</t>
  </si>
  <si>
    <t>Relojes</t>
  </si>
  <si>
    <t>Digweed</t>
  </si>
  <si>
    <t>Obra Social</t>
  </si>
  <si>
    <t>Ike asistencia</t>
  </si>
  <si>
    <t>Max</t>
  </si>
  <si>
    <t>Campera Ovni</t>
  </si>
  <si>
    <t>Campera Cole</t>
  </si>
  <si>
    <t>Auto</t>
  </si>
  <si>
    <t>Cochera</t>
  </si>
  <si>
    <t>Seguro Auto</t>
  </si>
  <si>
    <t>Joystick</t>
  </si>
  <si>
    <t>Cubierta Bici</t>
  </si>
  <si>
    <t>Netflix</t>
  </si>
  <si>
    <t>Préstamo Auto</t>
  </si>
  <si>
    <t>Gacebo</t>
  </si>
  <si>
    <t>Zapas</t>
  </si>
  <si>
    <t>Regalo Juan</t>
  </si>
  <si>
    <t>Multa</t>
  </si>
  <si>
    <t>Prestamo</t>
  </si>
  <si>
    <t>Bmx</t>
  </si>
  <si>
    <t>ok</t>
  </si>
  <si>
    <t>uala</t>
  </si>
  <si>
    <t>nx</t>
  </si>
  <si>
    <t>Bl</t>
  </si>
  <si>
    <t>Cancha</t>
  </si>
  <si>
    <t>Campera</t>
  </si>
  <si>
    <t>Credito</t>
  </si>
  <si>
    <t>ML</t>
  </si>
  <si>
    <t>Ike</t>
  </si>
  <si>
    <t>Gorra</t>
  </si>
  <si>
    <t>UALA</t>
  </si>
  <si>
    <t>NX</t>
  </si>
  <si>
    <t>Fleco</t>
  </si>
  <si>
    <t>Transf</t>
  </si>
  <si>
    <t>Nafta</t>
  </si>
  <si>
    <t>Aceite</t>
  </si>
  <si>
    <t>Libro</t>
  </si>
  <si>
    <t>Regalo Fleco</t>
  </si>
  <si>
    <t>Papi</t>
  </si>
  <si>
    <t>Proteina</t>
  </si>
  <si>
    <t>Parlante</t>
  </si>
  <si>
    <t>Cuota Bmx</t>
  </si>
  <si>
    <t>Transferencias</t>
  </si>
  <si>
    <t>Cumple Juan</t>
  </si>
  <si>
    <t>Regalo Le</t>
  </si>
  <si>
    <t>Parrilla</t>
  </si>
  <si>
    <t>Findes</t>
  </si>
  <si>
    <t>Guantes</t>
  </si>
  <si>
    <t>Claro</t>
  </si>
  <si>
    <t>Farmacia</t>
  </si>
  <si>
    <t>Gravl</t>
  </si>
  <si>
    <t>Mother</t>
  </si>
  <si>
    <t>Fuente</t>
  </si>
  <si>
    <t>Meli</t>
  </si>
  <si>
    <t>Rolo</t>
  </si>
  <si>
    <t>Otros</t>
  </si>
  <si>
    <t>Cuota Juan</t>
  </si>
  <si>
    <t>Mes</t>
  </si>
  <si>
    <t>Mes|Item</t>
  </si>
  <si>
    <t>Valor real</t>
  </si>
  <si>
    <t>Valor</t>
  </si>
  <si>
    <t>Por mediación</t>
  </si>
  <si>
    <t>Promedio</t>
  </si>
  <si>
    <t>Porcentaje</t>
  </si>
  <si>
    <t>Cuota inicial</t>
  </si>
  <si>
    <t>Obra social</t>
  </si>
  <si>
    <t>Viajes + bici</t>
  </si>
  <si>
    <t>Total</t>
  </si>
  <si>
    <t>Propuesta</t>
  </si>
  <si>
    <t>% total</t>
  </si>
  <si>
    <t>Por Arreglo</t>
  </si>
  <si>
    <t>Valor Cuota</t>
  </si>
  <si>
    <t>N°</t>
  </si>
  <si>
    <t>Valor Base</t>
  </si>
  <si>
    <t>Declarado</t>
  </si>
  <si>
    <t>Total Pago</t>
  </si>
  <si>
    <t>%Total</t>
  </si>
  <si>
    <t xml:space="preserve">Día </t>
  </si>
  <si>
    <t>Motivo</t>
  </si>
  <si>
    <t>Monto</t>
  </si>
  <si>
    <t>Helado</t>
  </si>
  <si>
    <t>Cena</t>
  </si>
  <si>
    <t>Transporte</t>
  </si>
  <si>
    <t>$ Comida</t>
  </si>
  <si>
    <t>Dias completos</t>
  </si>
  <si>
    <t>Medio día</t>
  </si>
  <si>
    <t>Importe disponible a gastar</t>
  </si>
  <si>
    <t>Resumen de gastos por comida</t>
  </si>
  <si>
    <t>Por mí</t>
  </si>
  <si>
    <t>Por vasile</t>
  </si>
  <si>
    <t>Tope</t>
  </si>
  <si>
    <t>Diferencia</t>
  </si>
  <si>
    <t>Efectivo</t>
  </si>
  <si>
    <t>Plata hoy</t>
  </si>
  <si>
    <t>Me deben</t>
  </si>
  <si>
    <t>Días hasta cobrar</t>
  </si>
  <si>
    <t>Plata por día</t>
  </si>
  <si>
    <t>Año</t>
  </si>
  <si>
    <t>Pago N°:</t>
  </si>
  <si>
    <t>Estado:</t>
  </si>
  <si>
    <t>Fecha depósito</t>
  </si>
  <si>
    <t>Meses incluidos en el pago</t>
  </si>
  <si>
    <t>Descuentos por cuotas cobradas de Progresar</t>
  </si>
  <si>
    <t>Sucursal Banco Nación:</t>
  </si>
  <si>
    <t>Aumento</t>
  </si>
  <si>
    <t>Aum Relativo</t>
  </si>
  <si>
    <t>DEPOSITADO</t>
  </si>
  <si>
    <t>ABRIL, MAYO Y JULIO</t>
  </si>
  <si>
    <t>ABRIL Y MAYO</t>
  </si>
  <si>
    <t>3750 | VILLA DOLORES: Felipe Erdman 102 - Córdoba</t>
  </si>
  <si>
    <t>JUNIO Y AGOSTO</t>
  </si>
  <si>
    <t>(NO CORRESPONDE)</t>
  </si>
  <si>
    <t>SEPTIEMBRE</t>
  </si>
  <si>
    <t>OCTUBRE</t>
  </si>
  <si>
    <t>NOVIEMBRE</t>
  </si>
  <si>
    <t>NO CORRESPONDE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</si>
  <si>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</si>
  <si>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</si>
  <si>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</si>
  <si>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</si>
  <si>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</si>
  <si>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</si>
  <si>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</si>
  <si>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</si>
  <si>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</si>
  <si>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EXTRAORDINARIO</t>
  </si>
  <si>
    <t>Suma de Importe</t>
  </si>
  <si>
    <t>Etiquetas de columna</t>
  </si>
  <si>
    <t>Etiquetas de fila</t>
  </si>
  <si>
    <t>Total general</t>
  </si>
  <si>
    <t>Ahorro</t>
  </si>
  <si>
    <t>2026</t>
  </si>
  <si>
    <t>Bono</t>
  </si>
  <si>
    <t>sep</t>
  </si>
  <si>
    <t>oct</t>
  </si>
  <si>
    <t>nov</t>
  </si>
  <si>
    <t>Fiat punto essence 1.6 2011</t>
  </si>
  <si>
    <t>Financiacion</t>
  </si>
  <si>
    <t>Precio</t>
  </si>
  <si>
    <t>Valor Inicial</t>
  </si>
  <si>
    <t>Valor de cuota</t>
  </si>
  <si>
    <t>Final de Cuota</t>
  </si>
  <si>
    <t>Final</t>
  </si>
  <si>
    <t>Compra</t>
  </si>
  <si>
    <t>Venta</t>
  </si>
  <si>
    <t>Veces</t>
  </si>
  <si>
    <t>Personas</t>
  </si>
  <si>
    <t>Cant Cuotas</t>
  </si>
  <si>
    <t>Cuota Actual</t>
  </si>
  <si>
    <t>Valor total</t>
  </si>
  <si>
    <t>Fecha inicio</t>
  </si>
  <si>
    <t>Fecha fin</t>
  </si>
  <si>
    <t>Faltan meses</t>
  </si>
  <si>
    <t>Comida DF</t>
  </si>
  <si>
    <t>Enero Papi</t>
  </si>
  <si>
    <t xml:space="preserve">Auto </t>
  </si>
  <si>
    <t>Credito uala</t>
  </si>
  <si>
    <t>Nx</t>
  </si>
  <si>
    <t>Supertour</t>
  </si>
  <si>
    <t>Medife</t>
  </si>
  <si>
    <t>Febrero Papi</t>
  </si>
  <si>
    <t>Supermerk</t>
  </si>
  <si>
    <t>Arreglo</t>
  </si>
  <si>
    <t>Seguro</t>
  </si>
  <si>
    <t>Saldo Enero</t>
  </si>
  <si>
    <t>Eling</t>
  </si>
  <si>
    <t>Reserva Dpto</t>
  </si>
  <si>
    <t>Medio Alquiler</t>
  </si>
  <si>
    <t>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</si>
</sst>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"/>
    <numFmt numFmtId="165" formatCode="&quot;$&quot;\ #,##0"/>
    <numFmt numFmtId="166" formatCode="[$-2C0A]mmm&quot;-&quot;yy"/>
  </numFmts>
  <fonts count="24" x14ac:knownFonts="1">
    <font>
      <sz val="11"/>
      <color theme="1"/>
      <name val="Calibri"/>
      <family val="2"/>
      <scheme val="minor"/>
    </font>
    <font>
      <b/>
      <i/>
      <u/>
      <sz val="11"/>
      <name val="Calibri"/>
      <family val="2"/>
    </font>
    <font>
      <b/>
      <i/>
      <sz val="11"/>
      <name val="Calibri"/>
      <family val="2"/>
    </font>
    <font>
      <b/>
      <i/>
      <sz val="11"/>
      <color rgb="FF984806"/>
      <name val="Calibri"/>
      <family val="2"/>
    </font>
    <font>
      <b/>
      <i/>
      <sz val="11"/>
      <color rgb="FF4F81BD"/>
      <name val="Calibri"/>
      <family val="2"/>
    </font>
    <font>
      <b/>
      <i/>
      <sz val="11"/>
      <color rgb="FF8064A2"/>
      <name val="Calibri"/>
      <family val="2"/>
    </font>
    <font>
      <b/>
      <i/>
      <sz val="11"/>
      <color rgb="FFF79646"/>
      <name val="Calibri"/>
      <family val="2"/>
    </font>
    <font>
      <b/>
      <i/>
      <strike/>
      <sz val="11"/>
      <color rgb="FF8064A2"/>
      <name val="Calibri"/>
      <family val="2"/>
    </font>
    <font>
      <b/>
      <i/>
      <sz val="11"/>
      <color rgb="FF00B05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</font>
    <font>
      <sz val="11"/>
      <color rgb="FFFF0000"/>
      <name val="Calibri"/>
      <family val="2"/>
      <scheme val="minor"/>
    </font>
    <font>
      <b/>
      <i/>
      <sz val="11"/>
      <color theme="9" tint="-0.249977111117893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984806"/>
      <name val="Calibri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EB9C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0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22" fillId="18" borderId="0" applyNumberFormat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14" fontId="0" fillId="0" borderId="0" xfId="0" applyNumberFormat="1"/>
    <xf numFmtId="2" fontId="0" fillId="0" borderId="0" xfId="1" applyNumberFormat="1" applyFont="1"/>
    <xf numFmtId="1" fontId="0" fillId="0" borderId="0" xfId="0" applyNumberFormat="1"/>
    <xf numFmtId="0" fontId="10" fillId="0" borderId="0" xfId="0" applyFont="1"/>
    <xf numFmtId="6" fontId="11" fillId="0" borderId="0" xfId="0" applyNumberFormat="1" applyFont="1"/>
    <xf numFmtId="2" fontId="12" fillId="2" borderId="0" xfId="0" applyNumberFormat="1" applyFont="1" applyFill="1"/>
    <xf numFmtId="0" fontId="13" fillId="0" borderId="0" xfId="0" applyFont="1" applyAlignment="1">
      <alignment horizontal="left" vertical="center" wrapText="1"/>
    </xf>
    <xf numFmtId="14" fontId="10" fillId="0" borderId="0" xfId="0" applyNumberFormat="1" applyFont="1"/>
    <xf numFmtId="164" fontId="10" fillId="0" borderId="0" xfId="0" applyNumberFormat="1" applyFont="1"/>
    <xf numFmtId="2" fontId="10" fillId="0" borderId="0" xfId="0" applyNumberFormat="1" applyFont="1"/>
    <xf numFmtId="43" fontId="10" fillId="0" borderId="0" xfId="0" applyNumberFormat="1" applyFont="1"/>
    <xf numFmtId="2" fontId="12" fillId="2" borderId="0" xfId="1" applyNumberFormat="1" applyFont="1" applyFill="1"/>
    <xf numFmtId="164" fontId="0" fillId="0" borderId="0" xfId="0" applyNumberFormat="1"/>
    <xf numFmtId="164" fontId="0" fillId="3" borderId="0" xfId="0" applyNumberFormat="1" applyFill="1"/>
    <xf numFmtId="0" fontId="0" fillId="3" borderId="0" xfId="0" applyFill="1"/>
    <xf numFmtId="164" fontId="0" fillId="4" borderId="0" xfId="0" applyNumberFormat="1" applyFill="1"/>
    <xf numFmtId="0" fontId="0" fillId="4" borderId="0" xfId="0" applyFill="1"/>
    <xf numFmtId="164" fontId="0" fillId="5" borderId="0" xfId="0" applyNumberFormat="1" applyFill="1"/>
    <xf numFmtId="0" fontId="0" fillId="5" borderId="0" xfId="0" applyFill="1"/>
    <xf numFmtId="164" fontId="0" fillId="6" borderId="0" xfId="0" applyNumberFormat="1" applyFill="1"/>
    <xf numFmtId="0" fontId="0" fillId="6" borderId="0" xfId="0" applyFill="1"/>
    <xf numFmtId="164" fontId="0" fillId="7" borderId="0" xfId="0" applyNumberFormat="1" applyFill="1"/>
    <xf numFmtId="0" fontId="0" fillId="7" borderId="0" xfId="0" applyFill="1"/>
    <xf numFmtId="164" fontId="0" fillId="8" borderId="0" xfId="0" applyNumberFormat="1" applyFill="1"/>
    <xf numFmtId="0" fontId="0" fillId="8" borderId="0" xfId="0" applyFill="1"/>
    <xf numFmtId="10" fontId="0" fillId="0" borderId="0" xfId="2" applyNumberFormat="1" applyFont="1"/>
    <xf numFmtId="0" fontId="15" fillId="0" borderId="0" xfId="0" applyFont="1" applyAlignment="1">
      <alignment horizontal="left" vertical="center" wrapText="1"/>
    </xf>
    <xf numFmtId="10" fontId="14" fillId="9" borderId="0" xfId="2" applyNumberFormat="1" applyFont="1" applyFill="1"/>
    <xf numFmtId="0" fontId="0" fillId="0" borderId="0" xfId="0" applyAlignment="1">
      <alignment horizontal="center"/>
    </xf>
    <xf numFmtId="0" fontId="16" fillId="0" borderId="0" xfId="0" applyFont="1"/>
    <xf numFmtId="10" fontId="18" fillId="10" borderId="0" xfId="2" applyNumberFormat="1" applyFont="1" applyFill="1"/>
    <xf numFmtId="164" fontId="14" fillId="7" borderId="0" xfId="0" applyNumberFormat="1" applyFont="1" applyFill="1"/>
    <xf numFmtId="0" fontId="14" fillId="7" borderId="0" xfId="0" applyFont="1" applyFill="1"/>
    <xf numFmtId="164" fontId="0" fillId="0" borderId="0" xfId="0" applyNumberFormat="1" applyAlignment="1">
      <alignment horizontal="center"/>
    </xf>
    <xf numFmtId="8" fontId="11" fillId="0" borderId="0" xfId="0" applyNumberFormat="1" applyFont="1"/>
    <xf numFmtId="165" fontId="0" fillId="0" borderId="0" xfId="0" applyNumberFormat="1"/>
    <xf numFmtId="0" fontId="19" fillId="0" borderId="0" xfId="0" applyFont="1" applyAlignment="1">
      <alignment horizontal="left" vertical="center" wrapText="1"/>
    </xf>
    <xf numFmtId="2" fontId="0" fillId="11" borderId="0" xfId="1" applyNumberFormat="1" applyFont="1" applyFill="1"/>
    <xf numFmtId="0" fontId="18" fillId="14" borderId="4" xfId="5" applyBorder="1"/>
    <xf numFmtId="0" fontId="18" fillId="14" borderId="0" xfId="5" applyBorder="1"/>
    <xf numFmtId="0" fontId="18" fillId="14" borderId="5" xfId="5" applyBorder="1"/>
    <xf numFmtId="164" fontId="0" fillId="0" borderId="6" xfId="0" applyNumberFormat="1" applyBorder="1"/>
    <xf numFmtId="164" fontId="0" fillId="0" borderId="7" xfId="0" applyNumberFormat="1" applyBorder="1"/>
    <xf numFmtId="10" fontId="0" fillId="0" borderId="8" xfId="2" applyNumberFormat="1" applyFont="1" applyBorder="1"/>
    <xf numFmtId="9" fontId="0" fillId="0" borderId="7" xfId="2" applyFont="1" applyBorder="1"/>
    <xf numFmtId="9" fontId="0" fillId="0" borderId="0" xfId="2" applyFont="1" applyBorder="1"/>
    <xf numFmtId="10" fontId="0" fillId="0" borderId="0" xfId="2" applyNumberFormat="1" applyFont="1" applyBorder="1"/>
    <xf numFmtId="9" fontId="0" fillId="0" borderId="0" xfId="2" applyFont="1"/>
    <xf numFmtId="0" fontId="0" fillId="17" borderId="0" xfId="0" applyFill="1"/>
    <xf numFmtId="0" fontId="18" fillId="16" borderId="12" xfId="7" applyBorder="1"/>
    <xf numFmtId="0" fontId="18" fillId="16" borderId="0" xfId="7" applyBorder="1"/>
    <xf numFmtId="0" fontId="18" fillId="16" borderId="13" xfId="7" applyBorder="1"/>
    <xf numFmtId="166" fontId="0" fillId="0" borderId="14" xfId="0" applyNumberFormat="1" applyBorder="1"/>
    <xf numFmtId="165" fontId="0" fillId="0" borderId="15" xfId="0" applyNumberFormat="1" applyBorder="1"/>
    <xf numFmtId="9" fontId="0" fillId="0" borderId="15" xfId="0" applyNumberFormat="1" applyBorder="1"/>
    <xf numFmtId="165" fontId="0" fillId="0" borderId="16" xfId="0" applyNumberFormat="1" applyBorder="1"/>
    <xf numFmtId="44" fontId="0" fillId="0" borderId="0" xfId="1" applyFont="1"/>
    <xf numFmtId="14" fontId="18" fillId="0" borderId="0" xfId="0" applyNumberFormat="1" applyFont="1"/>
    <xf numFmtId="0" fontId="18" fillId="0" borderId="0" xfId="0" applyFont="1"/>
    <xf numFmtId="44" fontId="18" fillId="0" borderId="0" xfId="1" applyFont="1"/>
    <xf numFmtId="164" fontId="18" fillId="0" borderId="0" xfId="0" applyNumberFormat="1" applyFont="1"/>
    <xf numFmtId="0" fontId="14" fillId="0" borderId="0" xfId="0" applyFont="1"/>
    <xf numFmtId="14" fontId="14" fillId="0" borderId="0" xfId="0" applyNumberFormat="1" applyFont="1"/>
    <xf numFmtId="164" fontId="14" fillId="0" borderId="0" xfId="0" applyNumberFormat="1" applyFont="1"/>
    <xf numFmtId="165" fontId="14" fillId="0" borderId="0" xfId="0" applyNumberFormat="1" applyFont="1"/>
    <xf numFmtId="9" fontId="14" fillId="0" borderId="0" xfId="2" applyFont="1"/>
    <xf numFmtId="10" fontId="14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3" fillId="18" borderId="0" xfId="8" applyFont="1"/>
    <xf numFmtId="165" fontId="23" fillId="18" borderId="0" xfId="8" applyNumberFormat="1" applyFont="1"/>
    <xf numFmtId="0" fontId="0" fillId="0" borderId="0" xfId="0" applyNumberFormat="1"/>
    <xf numFmtId="0" fontId="20" fillId="12" borderId="4" xfId="3" applyBorder="1" applyAlignment="1">
      <alignment horizontal="center"/>
    </xf>
    <xf numFmtId="0" fontId="20" fillId="12" borderId="0" xfId="3" applyBorder="1" applyAlignment="1">
      <alignment horizontal="center"/>
    </xf>
    <xf numFmtId="0" fontId="18" fillId="13" borderId="1" xfId="4" applyBorder="1" applyAlignment="1">
      <alignment horizontal="center"/>
    </xf>
    <xf numFmtId="0" fontId="18" fillId="13" borderId="2" xfId="4" applyBorder="1" applyAlignment="1">
      <alignment horizontal="center"/>
    </xf>
    <xf numFmtId="0" fontId="18" fillId="13" borderId="3" xfId="4" applyBorder="1" applyAlignment="1">
      <alignment horizontal="center"/>
    </xf>
    <xf numFmtId="0" fontId="21" fillId="15" borderId="1" xfId="6" applyFont="1" applyBorder="1" applyAlignment="1">
      <alignment horizontal="center"/>
    </xf>
    <xf numFmtId="0" fontId="21" fillId="15" borderId="2" xfId="6" applyFont="1" applyBorder="1" applyAlignment="1">
      <alignment horizontal="center"/>
    </xf>
    <xf numFmtId="0" fontId="21" fillId="15" borderId="3" xfId="6" applyFont="1" applyBorder="1" applyAlignment="1">
      <alignment horizontal="center"/>
    </xf>
    <xf numFmtId="0" fontId="18" fillId="16" borderId="9" xfId="7" applyBorder="1" applyAlignment="1">
      <alignment horizontal="center"/>
    </xf>
    <xf numFmtId="0" fontId="18" fillId="16" borderId="10" xfId="7" applyBorder="1" applyAlignment="1">
      <alignment horizontal="center"/>
    </xf>
    <xf numFmtId="0" fontId="18" fillId="16" borderId="11" xfId="7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</cellXfs>
  <cellStyles count="9">
    <cellStyle name="60% - Énfasis5" xfId="5" builtinId="48"/>
    <cellStyle name="Bueno" xfId="8" builtinId="26"/>
    <cellStyle name="Énfasis1" xfId="7" builtinId="29"/>
    <cellStyle name="Énfasis5" xfId="4" builtinId="45"/>
    <cellStyle name="Énfasis6" xfId="6" builtinId="49"/>
    <cellStyle name="Moneda" xfId="1" builtinId="4"/>
    <cellStyle name="Neutral" xfId="3" builtinId="28"/>
    <cellStyle name="Normal" xfId="0" builtinId="0"/>
    <cellStyle name="Porcentaje" xfId="2" builtinId="5"/>
  </cellStyles>
  <dxfs count="28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&quot;$&quot;\ #,##0.00"/>
    </dxf>
    <dxf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</dxf>
    <dxf>
      <numFmt numFmtId="165" formatCode="&quot;$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165" formatCode="&quot;$&quot;\ #,##0"/>
    </dxf>
    <dxf>
      <numFmt numFmtId="164" formatCode="&quot;$&quot;\ #,##0.00"/>
    </dxf>
    <dxf>
      <numFmt numFmtId="19" formatCode="d/m/yyyy"/>
    </dxf>
    <dxf>
      <fill>
        <patternFill patternType="none">
          <fgColor indexed="64"/>
          <bgColor indexed="65"/>
        </patternFill>
      </fill>
    </dxf>
    <dxf>
      <numFmt numFmtId="164" formatCode="&quot;$&quot;\ #,##0.00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2" formatCode="0.0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rgb="FF984806"/>
        <name val="Calibri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</xdr:colOff>
      <xdr:row>1</xdr:row>
      <xdr:rowOff>1</xdr:rowOff>
    </xdr:from>
    <xdr:to>
      <xdr:col>13</xdr:col>
      <xdr:colOff>32657</xdr:colOff>
      <xdr:row>11</xdr:row>
      <xdr:rowOff>64929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76361" y="182881"/>
          <a:ext cx="2520000" cy="1893728"/>
        </a:xfrm>
        <a:prstGeom prst="rect">
          <a:avLst/>
        </a:prstGeom>
      </xdr:spPr>
    </xdr:pic>
    <xdr:clientData/>
  </xdr:twoCellAnchor>
  <xdr:twoCellAnchor editAs="oneCell">
    <xdr:from>
      <xdr:col>10</xdr:col>
      <xdr:colOff>7620</xdr:colOff>
      <xdr:row>12</xdr:row>
      <xdr:rowOff>7621</xdr:rowOff>
    </xdr:from>
    <xdr:to>
      <xdr:col>13</xdr:col>
      <xdr:colOff>40276</xdr:colOff>
      <xdr:row>24</xdr:row>
      <xdr:rowOff>88752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83980" y="2202181"/>
          <a:ext cx="2520000" cy="227569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tias Hernan Robles" refreshedDate="46241.535632754632" createdVersion="6" refreshedVersion="6" minRefreshableVersion="3" recordCount="835">
  <cacheSource type="worksheet">
    <worksheetSource name="Cuentas_personales"/>
  </cacheSource>
  <cacheFields count="15">
    <cacheField name="MesAnio" numFmtId="0">
      <sharedItems containsNonDate="0" containsDate="1" containsString="0" containsBlank="1" minDate="2024-01-01T00:00:00" maxDate="2026-11-02T00:00:00" count="36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m/>
        <d v="2026-07-01T00:00:00"/>
        <d v="2026-08-01T00:00:00"/>
        <d v="2026-09-01T00:00:00"/>
        <d v="2026-10-01T00:00:00"/>
        <d v="2026-11-01T00:00:00"/>
      </sharedItems>
      <fieldGroup par="14" base="0">
        <rangePr groupBy="months" startDate="2024-01-01T00:00:00" endDate="2026-11-02T00:00:00"/>
        <groupItems count="14">
          <s v="(en blanco)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/11/2026"/>
        </groupItems>
      </fieldGroup>
    </cacheField>
    <cacheField name="Item" numFmtId="0">
      <sharedItems containsBlank="1"/>
    </cacheField>
    <cacheField name="Importe" numFmtId="0">
      <sharedItems containsString="0" containsBlank="1" containsNumber="1" minValue="0" maxValue="3360750"/>
    </cacheField>
    <cacheField name="Rubro" numFmtId="0">
      <sharedItems containsBlank="1"/>
    </cacheField>
    <cacheField name="Condición" numFmtId="0">
      <sharedItems containsBlank="1"/>
    </cacheField>
    <cacheField name="Cuotas" numFmtId="0">
      <sharedItems containsBlank="1"/>
    </cacheField>
    <cacheField name="Cant de Cuotas" numFmtId="0">
      <sharedItems containsString="0" containsBlank="1" containsNumber="1" containsInteger="1" minValue="1" maxValue="48"/>
    </cacheField>
    <cacheField name="Nro Cuota" numFmtId="0">
      <sharedItems containsString="0" containsBlank="1" containsNumber="1" containsInteger="1" minValue="1" maxValue="15"/>
    </cacheField>
    <cacheField name="Detalle fijo" numFmtId="0">
      <sharedItems containsBlank="1"/>
    </cacheField>
    <cacheField name="Fijo" numFmtId="0">
      <sharedItems containsString="0" containsBlank="1" containsNumber="1" containsInteger="1" minValue="1" maxValue="4"/>
    </cacheField>
    <cacheField name="Cond de Pago" numFmtId="0">
      <sharedItems containsBlank="1" count="6">
        <s v="Pagado"/>
        <s v="Cobro Mensual"/>
        <s v="En reserva"/>
        <s v="A pagar"/>
        <m/>
        <s v="Nii"/>
      </sharedItems>
    </cacheField>
    <cacheField name="Pagado" numFmtId="0">
      <sharedItems containsString="0" containsBlank="1" containsNumber="1" containsInteger="1" minValue="1" maxValue="4"/>
    </cacheField>
    <cacheField name="Cuotas en" numFmtId="0">
      <sharedItems containsBlank="1" containsMixedTypes="1" containsNumber="1" containsInteger="1" minValue="1" maxValue="4"/>
    </cacheField>
    <cacheField name="Trimestres" numFmtId="0" databaseField="0">
      <fieldGroup base="0">
        <rangePr groupBy="quarters" startDate="2024-01-01T00:00:00" endDate="2026-11-02T00:00:00"/>
        <groupItems count="6">
          <s v="&lt;1/1/2024"/>
          <s v="Trim.1"/>
          <s v="Trim.2"/>
          <s v="Trim.3"/>
          <s v="Trim.4"/>
          <s v="&gt;2/11/2026"/>
        </groupItems>
      </fieldGroup>
    </cacheField>
    <cacheField name="Años" numFmtId="0" databaseField="0">
      <fieldGroup base="0">
        <rangePr groupBy="years" startDate="2024-01-01T00:00:00" endDate="2026-11-02T00:00:00"/>
        <groupItems count="5">
          <s v="&lt;1/1/2024"/>
          <s v="2024"/>
          <s v="2025"/>
          <s v="2026"/>
          <s v="&gt;2/1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5">
  <r>
    <x v="0"/>
    <s v="CuotaJuan     "/>
    <n v="78000"/>
    <s v="Juan"/>
    <s v="Gasto"/>
    <m/>
    <m/>
    <m/>
    <s v="Nii"/>
    <m/>
    <x v="0"/>
    <n v="1"/>
    <n v="1"/>
  </r>
  <r>
    <x v="0"/>
    <s v="Expensas"/>
    <n v="29000"/>
    <s v="Depto"/>
    <s v="Gasto"/>
    <m/>
    <m/>
    <m/>
    <s v="Nii"/>
    <m/>
    <x v="0"/>
    <n v="1"/>
    <n v="2"/>
  </r>
  <r>
    <x v="0"/>
    <s v="Internet          "/>
    <n v="1100"/>
    <s v="Servicios"/>
    <s v="Gasto"/>
    <m/>
    <m/>
    <m/>
    <s v="Nii"/>
    <m/>
    <x v="0"/>
    <n v="1"/>
    <n v="3"/>
  </r>
  <r>
    <x v="0"/>
    <s v="Star+                "/>
    <n v="600"/>
    <s v="Subscripción"/>
    <s v="Gasto"/>
    <m/>
    <m/>
    <m/>
    <s v="Nii"/>
    <m/>
    <x v="0"/>
    <n v="1"/>
    <n v="4"/>
  </r>
  <r>
    <x v="0"/>
    <s v="Xbox                "/>
    <n v="1200"/>
    <s v="Subscripción"/>
    <s v="Gasto"/>
    <m/>
    <m/>
    <m/>
    <s v="Nii"/>
    <m/>
    <x v="0"/>
    <n v="1"/>
    <m/>
  </r>
  <r>
    <x v="0"/>
    <s v="RegaloJ(3/6)"/>
    <n v="1500"/>
    <s v="Juan"/>
    <s v="Gasto"/>
    <m/>
    <m/>
    <m/>
    <s v="Nii"/>
    <m/>
    <x v="0"/>
    <n v="1"/>
    <m/>
  </r>
  <r>
    <x v="0"/>
    <s v="Viaje               "/>
    <n v="20000"/>
    <s v="Viajes"/>
    <s v="Gasto"/>
    <m/>
    <m/>
    <m/>
    <s v="Nii"/>
    <m/>
    <x v="0"/>
    <n v="1"/>
    <m/>
  </r>
  <r>
    <x v="0"/>
    <s v="RemerasJ      "/>
    <n v="10100"/>
    <s v="Juan"/>
    <s v="Gasto"/>
    <m/>
    <m/>
    <m/>
    <s v="Nii"/>
    <m/>
    <x v="0"/>
    <n v="1"/>
    <m/>
  </r>
  <r>
    <x v="0"/>
    <s v="Trabajo"/>
    <n v="278885"/>
    <s v="Ingreso"/>
    <s v="Ingreso"/>
    <m/>
    <m/>
    <m/>
    <s v="Nii"/>
    <m/>
    <x v="0"/>
    <n v="1"/>
    <m/>
  </r>
  <r>
    <x v="0"/>
    <s v="Beca"/>
    <n v="57433"/>
    <s v="Ingreso"/>
    <s v="Ingreso"/>
    <m/>
    <m/>
    <m/>
    <s v="Nii"/>
    <m/>
    <x v="0"/>
    <n v="1"/>
    <m/>
  </r>
  <r>
    <x v="0"/>
    <s v="Gym        "/>
    <n v="8300"/>
    <s v="Salud"/>
    <s v="Gasto"/>
    <m/>
    <m/>
    <m/>
    <s v="Nii"/>
    <m/>
    <x v="0"/>
    <n v="1"/>
    <m/>
  </r>
  <r>
    <x v="1"/>
    <s v="Expensas"/>
    <n v="31000"/>
    <s v="Depto"/>
    <s v="Gasto"/>
    <m/>
    <m/>
    <m/>
    <s v="Nii"/>
    <m/>
    <x v="0"/>
    <n v="1"/>
    <m/>
  </r>
  <r>
    <x v="1"/>
    <s v="CuotaJuan     "/>
    <n v="90000"/>
    <s v="Juan"/>
    <s v="Gasto"/>
    <m/>
    <m/>
    <m/>
    <s v="Nii"/>
    <m/>
    <x v="0"/>
    <n v="1"/>
    <m/>
  </r>
  <r>
    <x v="1"/>
    <s v="Internet          "/>
    <n v="1100"/>
    <s v="Servicios"/>
    <s v="Gasto"/>
    <m/>
    <m/>
    <m/>
    <s v="Nii"/>
    <m/>
    <x v="0"/>
    <n v="1"/>
    <m/>
  </r>
  <r>
    <x v="1"/>
    <s v="RegaloJ(4/6)"/>
    <n v="1500"/>
    <s v="Juan"/>
    <s v="Gasto"/>
    <m/>
    <m/>
    <m/>
    <s v="Nii"/>
    <m/>
    <x v="0"/>
    <n v="1"/>
    <m/>
  </r>
  <r>
    <x v="1"/>
    <s v="RegaloPa       "/>
    <n v="13750"/>
    <s v="Varios"/>
    <s v="Gasto"/>
    <m/>
    <m/>
    <m/>
    <s v="Nii"/>
    <m/>
    <x v="0"/>
    <n v="1"/>
    <m/>
  </r>
  <r>
    <x v="1"/>
    <s v="Gym        "/>
    <n v="8300"/>
    <s v="Salud"/>
    <s v="Gasto"/>
    <m/>
    <m/>
    <m/>
    <s v="Nii"/>
    <m/>
    <x v="0"/>
    <n v="1"/>
    <m/>
  </r>
  <r>
    <x v="1"/>
    <s v="Trabajo"/>
    <n v="411919"/>
    <s v="Ingreso"/>
    <s v="Ingreso"/>
    <m/>
    <m/>
    <m/>
    <s v="Cobro Mensual"/>
    <n v="4"/>
    <x v="0"/>
    <n v="1"/>
    <m/>
  </r>
  <r>
    <x v="1"/>
    <s v="Beca"/>
    <n v="57433"/>
    <s v="Ingreso"/>
    <s v="Ingreso"/>
    <m/>
    <m/>
    <m/>
    <s v="Cobro Mensual"/>
    <n v="4"/>
    <x v="0"/>
    <n v="1"/>
    <m/>
  </r>
  <r>
    <x v="2"/>
    <s v="Expensas"/>
    <n v="31000"/>
    <s v="Depto"/>
    <s v="Gasto"/>
    <m/>
    <m/>
    <m/>
    <s v="Nii"/>
    <m/>
    <x v="0"/>
    <n v="1"/>
    <m/>
  </r>
  <r>
    <x v="2"/>
    <s v="CuotaJuan     "/>
    <n v="110000"/>
    <s v="Juan"/>
    <s v="Gasto"/>
    <m/>
    <m/>
    <m/>
    <s v="Nii"/>
    <m/>
    <x v="0"/>
    <n v="1"/>
    <m/>
  </r>
  <r>
    <x v="2"/>
    <s v="Internet          "/>
    <n v="1100"/>
    <s v="Servicios"/>
    <s v="Gasto"/>
    <m/>
    <m/>
    <m/>
    <s v="Nii"/>
    <m/>
    <x v="0"/>
    <n v="1"/>
    <m/>
  </r>
  <r>
    <x v="2"/>
    <s v="RegaloJ(5/6)"/>
    <n v="1500"/>
    <s v="Juan"/>
    <s v="Gasto"/>
    <m/>
    <m/>
    <m/>
    <s v="Nii"/>
    <m/>
    <x v="0"/>
    <n v="1"/>
    <m/>
  </r>
  <r>
    <x v="2"/>
    <s v="Piñón               "/>
    <n v="8000"/>
    <s v="Juan"/>
    <s v="Gasto"/>
    <m/>
    <m/>
    <m/>
    <s v="Nii"/>
    <m/>
    <x v="0"/>
    <n v="1"/>
    <m/>
  </r>
  <r>
    <x v="2"/>
    <s v="LicenciaJuan "/>
    <n v="10000"/>
    <s v="Juan"/>
    <s v="Gasto"/>
    <m/>
    <m/>
    <m/>
    <s v="Nii"/>
    <m/>
    <x v="0"/>
    <n v="1"/>
    <m/>
  </r>
  <r>
    <x v="2"/>
    <s v="Star+                "/>
    <n v="2500"/>
    <s v="Subscripción"/>
    <s v="Gasto"/>
    <m/>
    <m/>
    <m/>
    <s v="Nii"/>
    <m/>
    <x v="0"/>
    <n v="1"/>
    <m/>
  </r>
  <r>
    <x v="2"/>
    <s v="Xbox                "/>
    <n v="1200"/>
    <s v="Subscripción"/>
    <s v="Gasto"/>
    <m/>
    <m/>
    <m/>
    <s v="Nii"/>
    <m/>
    <x v="0"/>
    <n v="1"/>
    <m/>
  </r>
  <r>
    <x v="2"/>
    <s v="Spotify            "/>
    <n v="330"/>
    <s v="Subscripción"/>
    <s v="Gasto"/>
    <m/>
    <m/>
    <m/>
    <s v="Nii"/>
    <m/>
    <x v="0"/>
    <n v="1"/>
    <m/>
  </r>
  <r>
    <x v="2"/>
    <s v="Boletos           "/>
    <n v="37500"/>
    <s v="Viajes"/>
    <s v="Gasto"/>
    <m/>
    <m/>
    <m/>
    <s v="Nii"/>
    <m/>
    <x v="0"/>
    <n v="1"/>
    <m/>
  </r>
  <r>
    <x v="2"/>
    <s v="Finde              "/>
    <n v="45000"/>
    <s v="Viajes"/>
    <s v="Gasto"/>
    <m/>
    <m/>
    <m/>
    <s v="Nii"/>
    <m/>
    <x v="0"/>
    <n v="1"/>
    <m/>
  </r>
  <r>
    <x v="2"/>
    <s v="RegaloMa     "/>
    <n v="0"/>
    <s v="Varios"/>
    <s v="Gasto"/>
    <m/>
    <m/>
    <m/>
    <s v="Nii"/>
    <m/>
    <x v="0"/>
    <n v="1"/>
    <m/>
  </r>
  <r>
    <x v="2"/>
    <s v="RegaloMax   "/>
    <n v="0"/>
    <s v="Varios"/>
    <s v="Gasto"/>
    <m/>
    <m/>
    <m/>
    <s v="Nii"/>
    <m/>
    <x v="0"/>
    <n v="1"/>
    <m/>
  </r>
  <r>
    <x v="2"/>
    <s v="RegaloG        "/>
    <n v="0"/>
    <s v="Varios"/>
    <s v="Gasto"/>
    <m/>
    <m/>
    <m/>
    <s v="Nii"/>
    <m/>
    <x v="0"/>
    <n v="1"/>
    <m/>
  </r>
  <r>
    <x v="2"/>
    <s v="Trabajo"/>
    <n v="357685"/>
    <s v="Ingreso"/>
    <s v="Ingreso"/>
    <m/>
    <m/>
    <m/>
    <s v="Nii"/>
    <m/>
    <x v="0"/>
    <n v="1"/>
    <m/>
  </r>
  <r>
    <x v="2"/>
    <s v="Beca"/>
    <n v="57433"/>
    <s v="Ingreso"/>
    <s v="Ingreso"/>
    <m/>
    <m/>
    <m/>
    <s v="Nii"/>
    <m/>
    <x v="0"/>
    <n v="1"/>
    <m/>
  </r>
  <r>
    <x v="2"/>
    <s v="Gym        "/>
    <n v="8300"/>
    <s v="Salud"/>
    <s v="Gasto"/>
    <m/>
    <m/>
    <m/>
    <s v="Nii"/>
    <m/>
    <x v="0"/>
    <n v="1"/>
    <m/>
  </r>
  <r>
    <x v="2"/>
    <s v="Prego"/>
    <n v="40000"/>
    <s v="Comida"/>
    <s v="Gasto"/>
    <m/>
    <m/>
    <m/>
    <s v="Nii"/>
    <m/>
    <x v="0"/>
    <n v="1"/>
    <m/>
  </r>
  <r>
    <x v="3"/>
    <s v="Expensas"/>
    <n v="35000"/>
    <s v="Depto"/>
    <s v="Gasto"/>
    <m/>
    <m/>
    <m/>
    <s v="Nii"/>
    <m/>
    <x v="0"/>
    <n v="1"/>
    <m/>
  </r>
  <r>
    <x v="3"/>
    <s v="CuotaJuan     "/>
    <n v="100400"/>
    <s v="Juan"/>
    <s v="Gasto"/>
    <m/>
    <m/>
    <m/>
    <s v="Nii"/>
    <m/>
    <x v="0"/>
    <n v="1"/>
    <m/>
  </r>
  <r>
    <x v="3"/>
    <s v="Internet          "/>
    <n v="1100"/>
    <s v="Servicios"/>
    <s v="Gasto"/>
    <m/>
    <m/>
    <m/>
    <s v="Nii"/>
    <m/>
    <x v="0"/>
    <n v="1"/>
    <m/>
  </r>
  <r>
    <x v="3"/>
    <s v="RegaloJ(6/6)"/>
    <n v="1500"/>
    <s v="Juan"/>
    <s v="Gasto"/>
    <m/>
    <m/>
    <m/>
    <s v="Nii"/>
    <m/>
    <x v="0"/>
    <n v="1"/>
    <m/>
  </r>
  <r>
    <x v="3"/>
    <s v="LicenciaJuan "/>
    <n v="29000"/>
    <s v="Juan"/>
    <s v="Gasto"/>
    <m/>
    <m/>
    <m/>
    <s v="Nii"/>
    <m/>
    <x v="0"/>
    <n v="1"/>
    <m/>
  </r>
  <r>
    <x v="3"/>
    <s v="Star+                "/>
    <n v="2500"/>
    <s v="Subscripción"/>
    <s v="Gasto"/>
    <m/>
    <m/>
    <m/>
    <s v="Nii"/>
    <m/>
    <x v="0"/>
    <n v="1"/>
    <m/>
  </r>
  <r>
    <x v="3"/>
    <s v="Xbox                "/>
    <n v="1200"/>
    <s v="Subscripción"/>
    <s v="Gasto"/>
    <m/>
    <m/>
    <m/>
    <s v="Nii"/>
    <m/>
    <x v="0"/>
    <n v="1"/>
    <m/>
  </r>
  <r>
    <x v="3"/>
    <s v="Spotify            "/>
    <n v="1130"/>
    <s v="Subscripción"/>
    <s v="Gasto"/>
    <m/>
    <m/>
    <m/>
    <s v="Nii"/>
    <m/>
    <x v="0"/>
    <n v="1"/>
    <m/>
  </r>
  <r>
    <x v="3"/>
    <s v="Google+        "/>
    <n v="730"/>
    <s v="Subscripción"/>
    <s v="Gasto"/>
    <m/>
    <m/>
    <m/>
    <s v="Nii"/>
    <m/>
    <x v="0"/>
    <n v="1"/>
    <m/>
  </r>
  <r>
    <x v="3"/>
    <s v="Boletos           "/>
    <n v="16500"/>
    <s v="Viajes"/>
    <s v="Gasto"/>
    <m/>
    <m/>
    <m/>
    <s v="Nii"/>
    <m/>
    <x v="0"/>
    <n v="1"/>
    <m/>
  </r>
  <r>
    <x v="3"/>
    <s v="Trabajo"/>
    <n v="411338"/>
    <s v="Ingreso"/>
    <s v="Ingreso"/>
    <m/>
    <m/>
    <m/>
    <s v="Nii"/>
    <m/>
    <x v="0"/>
    <n v="1"/>
    <m/>
  </r>
  <r>
    <x v="3"/>
    <s v="Beca"/>
    <n v="57433"/>
    <s v="Ingreso"/>
    <s v="Ingreso"/>
    <m/>
    <m/>
    <m/>
    <s v="Nii"/>
    <m/>
    <x v="0"/>
    <n v="1"/>
    <m/>
  </r>
  <r>
    <x v="3"/>
    <s v="Gym        "/>
    <n v="16000"/>
    <s v="Salud"/>
    <s v="Gasto"/>
    <m/>
    <m/>
    <m/>
    <s v="Nii"/>
    <m/>
    <x v="0"/>
    <n v="1"/>
    <m/>
  </r>
  <r>
    <x v="3"/>
    <s v="Prego"/>
    <n v="40000"/>
    <s v="Comida"/>
    <s v="Gasto"/>
    <m/>
    <m/>
    <m/>
    <s v="Nii"/>
    <m/>
    <x v="0"/>
    <n v="1"/>
    <m/>
  </r>
  <r>
    <x v="4"/>
    <s v="Expensas"/>
    <n v="40500"/>
    <s v="Depto"/>
    <s v="Gasto"/>
    <m/>
    <m/>
    <m/>
    <s v="Nii"/>
    <m/>
    <x v="0"/>
    <n v="1"/>
    <m/>
  </r>
  <r>
    <x v="4"/>
    <s v="CuotaJuan     "/>
    <n v="110526"/>
    <s v="Juan"/>
    <s v="Gasto"/>
    <m/>
    <m/>
    <m/>
    <s v="Nii"/>
    <m/>
    <x v="0"/>
    <n v="1"/>
    <m/>
  </r>
  <r>
    <x v="4"/>
    <s v="Internet          "/>
    <n v="2200"/>
    <s v="Servicios"/>
    <s v="Gasto"/>
    <m/>
    <m/>
    <m/>
    <s v="Nii"/>
    <m/>
    <x v="0"/>
    <n v="1"/>
    <m/>
  </r>
  <r>
    <x v="4"/>
    <s v="Monitor(1/5)"/>
    <n v="35000"/>
    <s v="Compras"/>
    <s v="Gasto"/>
    <m/>
    <m/>
    <m/>
    <s v="Nii"/>
    <m/>
    <x v="0"/>
    <n v="1"/>
    <m/>
  </r>
  <r>
    <x v="4"/>
    <s v="Stand(1/6)      "/>
    <n v="10953"/>
    <s v="Compras"/>
    <s v="Gasto"/>
    <m/>
    <m/>
    <m/>
    <s v="Nii"/>
    <m/>
    <x v="0"/>
    <n v="1"/>
    <m/>
  </r>
  <r>
    <x v="4"/>
    <s v="Star+                "/>
    <n v="2500"/>
    <s v="Subscripción"/>
    <s v="Gasto"/>
    <m/>
    <m/>
    <m/>
    <s v="Nii"/>
    <m/>
    <x v="0"/>
    <n v="1"/>
    <m/>
  </r>
  <r>
    <x v="4"/>
    <s v="Xbox                "/>
    <n v="8715"/>
    <s v="Subscripción"/>
    <s v="Gasto"/>
    <m/>
    <m/>
    <m/>
    <s v="Nii"/>
    <m/>
    <x v="0"/>
    <n v="1"/>
    <m/>
  </r>
  <r>
    <x v="4"/>
    <s v="Spotify            "/>
    <n v="1130"/>
    <s v="Subscripción"/>
    <s v="Gasto"/>
    <m/>
    <m/>
    <m/>
    <s v="Nii"/>
    <m/>
    <x v="0"/>
    <n v="1"/>
    <m/>
  </r>
  <r>
    <x v="4"/>
    <s v="Google+        "/>
    <n v="3000"/>
    <s v="Subscripción"/>
    <s v="Gasto"/>
    <m/>
    <m/>
    <m/>
    <s v="Nii"/>
    <m/>
    <x v="0"/>
    <n v="1"/>
    <m/>
  </r>
  <r>
    <x v="4"/>
    <s v="Boletos           "/>
    <n v="33000"/>
    <s v="Viajes"/>
    <s v="Gasto"/>
    <m/>
    <m/>
    <m/>
    <s v="Nii"/>
    <m/>
    <x v="0"/>
    <n v="1"/>
    <m/>
  </r>
  <r>
    <x v="4"/>
    <s v="Trabajo"/>
    <n v="485994"/>
    <s v="Ingreso"/>
    <s v="Ingreso"/>
    <m/>
    <m/>
    <m/>
    <s v="Nii"/>
    <m/>
    <x v="0"/>
    <n v="1"/>
    <m/>
  </r>
  <r>
    <x v="4"/>
    <s v="Beca"/>
    <n v="81685"/>
    <s v="Ingreso"/>
    <s v="Ingreso"/>
    <m/>
    <m/>
    <m/>
    <s v="Nii"/>
    <m/>
    <x v="0"/>
    <n v="1"/>
    <m/>
  </r>
  <r>
    <x v="4"/>
    <s v="Gym        "/>
    <n v="16000"/>
    <s v="Salud"/>
    <s v="Gasto"/>
    <m/>
    <m/>
    <m/>
    <s v="Nii"/>
    <m/>
    <x v="0"/>
    <n v="1"/>
    <m/>
  </r>
  <r>
    <x v="4"/>
    <s v="Prego"/>
    <n v="46000"/>
    <s v="Comida"/>
    <s v="Gasto"/>
    <m/>
    <m/>
    <m/>
    <s v="Nii"/>
    <m/>
    <x v="0"/>
    <n v="1"/>
    <m/>
  </r>
  <r>
    <x v="5"/>
    <s v="• Stick(1/6)        "/>
    <n v="14285"/>
    <s v="Compras"/>
    <s v="Gasto"/>
    <m/>
    <m/>
    <m/>
    <s v="Nii"/>
    <m/>
    <x v="0"/>
    <n v="1"/>
    <m/>
  </r>
  <r>
    <x v="5"/>
    <s v="Trabajo"/>
    <n v="557995"/>
    <s v="Ingreso"/>
    <s v="Ingreso"/>
    <m/>
    <m/>
    <m/>
    <s v="Nii"/>
    <m/>
    <x v="0"/>
    <n v="1"/>
    <m/>
  </r>
  <r>
    <x v="5"/>
    <s v="CuotaJuan     "/>
    <n v="116158"/>
    <s v="Juan"/>
    <s v="Gasto"/>
    <m/>
    <m/>
    <m/>
    <s v="Nii"/>
    <m/>
    <x v="0"/>
    <n v="1"/>
    <m/>
  </r>
  <r>
    <x v="5"/>
    <s v="Beca"/>
    <n v="81685"/>
    <s v="Ingreso"/>
    <s v="Ingreso"/>
    <m/>
    <m/>
    <m/>
    <s v="Nii"/>
    <m/>
    <x v="0"/>
    <n v="1"/>
    <m/>
  </r>
  <r>
    <x v="5"/>
    <s v="Prego"/>
    <n v="51600"/>
    <s v="Comida"/>
    <s v="Gasto"/>
    <m/>
    <m/>
    <m/>
    <s v="Nii"/>
    <m/>
    <x v="0"/>
    <n v="1"/>
    <m/>
  </r>
  <r>
    <x v="5"/>
    <s v="Boletos           "/>
    <n v="45000"/>
    <s v="Viajes"/>
    <s v="Gasto"/>
    <m/>
    <m/>
    <m/>
    <s v="Nii"/>
    <m/>
    <x v="0"/>
    <n v="1"/>
    <m/>
  </r>
  <r>
    <x v="5"/>
    <s v="Expensas"/>
    <n v="42351"/>
    <s v="Depto"/>
    <s v="Gasto"/>
    <m/>
    <m/>
    <m/>
    <s v="Nii"/>
    <m/>
    <x v="0"/>
    <n v="1"/>
    <m/>
  </r>
  <r>
    <x v="5"/>
    <s v="Monitor(2/5)"/>
    <n v="35000"/>
    <s v="Compras"/>
    <s v="Gasto"/>
    <m/>
    <m/>
    <m/>
    <s v="Nii"/>
    <m/>
    <x v="0"/>
    <n v="1"/>
    <m/>
  </r>
  <r>
    <x v="5"/>
    <s v="Gym        "/>
    <n v="16000"/>
    <s v="Salud"/>
    <s v="Gasto"/>
    <m/>
    <m/>
    <m/>
    <s v="Nii"/>
    <m/>
    <x v="0"/>
    <n v="1"/>
    <m/>
  </r>
  <r>
    <x v="5"/>
    <s v="Stand(2/6)      "/>
    <n v="10953"/>
    <s v="Compras"/>
    <s v="Gasto"/>
    <m/>
    <m/>
    <m/>
    <s v="Nii"/>
    <m/>
    <x v="0"/>
    <n v="1"/>
    <m/>
  </r>
  <r>
    <x v="5"/>
    <s v="Xbox                "/>
    <n v="8715"/>
    <s v="Subscripción"/>
    <s v="Gasto"/>
    <m/>
    <m/>
    <m/>
    <s v="Nii"/>
    <m/>
    <x v="0"/>
    <n v="1"/>
    <m/>
  </r>
  <r>
    <x v="5"/>
    <s v="Google+        "/>
    <n v="3000"/>
    <s v="Subscripción"/>
    <s v="Gasto"/>
    <m/>
    <m/>
    <m/>
    <s v="Nii"/>
    <m/>
    <x v="0"/>
    <n v="1"/>
    <m/>
  </r>
  <r>
    <x v="5"/>
    <s v="Star+                "/>
    <n v="2500"/>
    <s v="Subscripción"/>
    <s v="Gasto"/>
    <m/>
    <m/>
    <m/>
    <s v="Nii"/>
    <m/>
    <x v="0"/>
    <n v="1"/>
    <m/>
  </r>
  <r>
    <x v="5"/>
    <s v="Internet          "/>
    <n v="2200"/>
    <s v="Servicios"/>
    <s v="Gasto"/>
    <m/>
    <m/>
    <m/>
    <s v="Nii"/>
    <m/>
    <x v="0"/>
    <n v="1"/>
    <m/>
  </r>
  <r>
    <x v="5"/>
    <s v="Spotify            "/>
    <n v="1130"/>
    <s v="Subscripción"/>
    <s v="Gasto"/>
    <m/>
    <m/>
    <m/>
    <s v="Nii"/>
    <m/>
    <x v="0"/>
    <n v="1"/>
    <m/>
  </r>
  <r>
    <x v="6"/>
    <s v="Expensas"/>
    <n v="57800"/>
    <s v="Depto"/>
    <s v="Gasto"/>
    <m/>
    <m/>
    <m/>
    <s v="Nii"/>
    <m/>
    <x v="0"/>
    <n v="1"/>
    <m/>
  </r>
  <r>
    <x v="6"/>
    <s v="Gym        "/>
    <n v="16000"/>
    <s v="Salud"/>
    <s v="Gasto"/>
    <m/>
    <m/>
    <m/>
    <s v="Nii"/>
    <m/>
    <x v="0"/>
    <n v="1"/>
    <m/>
  </r>
  <r>
    <x v="6"/>
    <s v="CuotaJuan     "/>
    <n v="117158"/>
    <s v="Juan"/>
    <s v="Gasto"/>
    <m/>
    <m/>
    <m/>
    <s v="Nii"/>
    <m/>
    <x v="0"/>
    <n v="1"/>
    <m/>
  </r>
  <r>
    <x v="6"/>
    <s v="AguinaldoJ    "/>
    <n v="58100"/>
    <s v="Juan"/>
    <s v="Gasto"/>
    <m/>
    <m/>
    <m/>
    <s v="Nii"/>
    <m/>
    <x v="0"/>
    <n v="1"/>
    <m/>
  </r>
  <r>
    <x v="6"/>
    <s v="Internet          "/>
    <n v="2200"/>
    <s v="Servicios"/>
    <s v="Gasto"/>
    <m/>
    <m/>
    <m/>
    <s v="Nii"/>
    <m/>
    <x v="0"/>
    <n v="1"/>
    <m/>
  </r>
  <r>
    <x v="6"/>
    <s v="Monitor(3/5)"/>
    <n v="35000"/>
    <s v="Compras"/>
    <s v="Gasto"/>
    <m/>
    <m/>
    <m/>
    <s v="Nii"/>
    <m/>
    <x v="0"/>
    <n v="1"/>
    <m/>
  </r>
  <r>
    <x v="6"/>
    <s v="Stand(3/6)      "/>
    <n v="10953"/>
    <s v="Compras"/>
    <s v="Gasto"/>
    <m/>
    <m/>
    <m/>
    <s v="Nii"/>
    <m/>
    <x v="0"/>
    <n v="1"/>
    <m/>
  </r>
  <r>
    <x v="6"/>
    <s v="• Stick(1/6)        "/>
    <n v="14285"/>
    <s v="Compras"/>
    <s v="Gasto"/>
    <m/>
    <m/>
    <m/>
    <s v="Nii"/>
    <m/>
    <x v="0"/>
    <n v="1"/>
    <m/>
  </r>
  <r>
    <x v="6"/>
    <s v="Star+                "/>
    <n v="4000"/>
    <s v="Subscripción"/>
    <s v="Gasto"/>
    <m/>
    <m/>
    <m/>
    <s v="Nii"/>
    <m/>
    <x v="0"/>
    <n v="1"/>
    <m/>
  </r>
  <r>
    <x v="6"/>
    <s v="Xbox                "/>
    <n v="8715"/>
    <s v="Subscripción"/>
    <s v="Gasto"/>
    <m/>
    <m/>
    <m/>
    <s v="Nii"/>
    <m/>
    <x v="0"/>
    <n v="1"/>
    <m/>
  </r>
  <r>
    <x v="6"/>
    <s v="Spotify            "/>
    <n v="1130"/>
    <s v="Subscripción"/>
    <s v="Gasto"/>
    <m/>
    <m/>
    <m/>
    <s v="Nii"/>
    <m/>
    <x v="0"/>
    <n v="1"/>
    <m/>
  </r>
  <r>
    <x v="6"/>
    <s v="Google+        "/>
    <n v="3000"/>
    <s v="Subscripción"/>
    <s v="Gasto"/>
    <m/>
    <m/>
    <m/>
    <s v="Nii"/>
    <m/>
    <x v="0"/>
    <n v="1"/>
    <m/>
  </r>
  <r>
    <x v="6"/>
    <s v="Boletos           "/>
    <n v="20000"/>
    <s v="Viajes"/>
    <s v="Gasto"/>
    <m/>
    <m/>
    <m/>
    <s v="Nii"/>
    <m/>
    <x v="0"/>
    <n v="1"/>
    <m/>
  </r>
  <r>
    <x v="6"/>
    <s v="Trabajo"/>
    <n v="878837"/>
    <s v="Ingreso"/>
    <s v="Ingreso"/>
    <m/>
    <m/>
    <m/>
    <s v="Nii"/>
    <m/>
    <x v="0"/>
    <n v="1"/>
    <m/>
  </r>
  <r>
    <x v="6"/>
    <s v="Beca"/>
    <n v="81685"/>
    <s v="Ingreso"/>
    <s v="Ingreso"/>
    <m/>
    <m/>
    <m/>
    <s v="Nii"/>
    <m/>
    <x v="0"/>
    <n v="1"/>
    <m/>
  </r>
  <r>
    <x v="6"/>
    <s v="Prego"/>
    <n v="64000"/>
    <s v="Comida"/>
    <s v="Gasto"/>
    <m/>
    <m/>
    <m/>
    <s v="Nii"/>
    <m/>
    <x v="0"/>
    <n v="1"/>
    <m/>
  </r>
  <r>
    <x v="7"/>
    <s v="Expensas"/>
    <n v="49900"/>
    <s v="Depto"/>
    <s v="Gasto"/>
    <m/>
    <m/>
    <m/>
    <s v="Nii"/>
    <m/>
    <x v="0"/>
    <n v="1"/>
    <m/>
  </r>
  <r>
    <x v="7"/>
    <s v="Gym        "/>
    <n v="16000"/>
    <s v="Salud"/>
    <s v="Gasto"/>
    <m/>
    <m/>
    <m/>
    <s v="Nii"/>
    <m/>
    <x v="0"/>
    <n v="1"/>
    <m/>
  </r>
  <r>
    <x v="7"/>
    <s v="CuotaJuan     "/>
    <n v="127116"/>
    <s v="Juan"/>
    <s v="Gasto"/>
    <m/>
    <m/>
    <m/>
    <s v="Nii"/>
    <m/>
    <x v="0"/>
    <n v="1"/>
    <m/>
  </r>
  <r>
    <x v="7"/>
    <s v="Internet          "/>
    <n v="2200"/>
    <s v="Servicios"/>
    <s v="Gasto"/>
    <m/>
    <m/>
    <m/>
    <s v="Nii"/>
    <m/>
    <x v="0"/>
    <n v="1"/>
    <m/>
  </r>
  <r>
    <x v="7"/>
    <s v="Monitor(4/5)"/>
    <n v="35000"/>
    <s v="Compras"/>
    <s v="Gasto"/>
    <m/>
    <m/>
    <m/>
    <s v="Nii"/>
    <m/>
    <x v="0"/>
    <n v="1"/>
    <m/>
  </r>
  <r>
    <x v="7"/>
    <s v="Stand(4/6)      "/>
    <n v="10953"/>
    <s v="Compras"/>
    <s v="Gasto"/>
    <m/>
    <m/>
    <m/>
    <s v="Nii"/>
    <m/>
    <x v="0"/>
    <n v="1"/>
    <m/>
  </r>
  <r>
    <x v="7"/>
    <s v="• Stick(2/6)        "/>
    <n v="14285"/>
    <s v="Compras"/>
    <s v="Gasto"/>
    <m/>
    <m/>
    <m/>
    <s v="Nii"/>
    <m/>
    <x v="0"/>
    <n v="1"/>
    <m/>
  </r>
  <r>
    <x v="7"/>
    <s v="Star+                "/>
    <n v="4000"/>
    <s v="Subscripción"/>
    <s v="Gasto"/>
    <m/>
    <m/>
    <m/>
    <s v="Nii"/>
    <m/>
    <x v="0"/>
    <n v="1"/>
    <m/>
  </r>
  <r>
    <x v="7"/>
    <s v="Xbox                "/>
    <n v="8715"/>
    <s v="Subscripción"/>
    <s v="Gasto"/>
    <m/>
    <m/>
    <m/>
    <s v="Nii"/>
    <m/>
    <x v="0"/>
    <n v="1"/>
    <m/>
  </r>
  <r>
    <x v="7"/>
    <s v="Spotify            "/>
    <n v="1130"/>
    <s v="Subscripción"/>
    <s v="Gasto"/>
    <m/>
    <m/>
    <m/>
    <s v="Nii"/>
    <m/>
    <x v="0"/>
    <n v="1"/>
    <m/>
  </r>
  <r>
    <x v="7"/>
    <s v="Google+        "/>
    <n v="3000"/>
    <s v="Subscripción"/>
    <s v="Gasto"/>
    <m/>
    <m/>
    <m/>
    <s v="Nii"/>
    <m/>
    <x v="0"/>
    <n v="1"/>
    <m/>
  </r>
  <r>
    <x v="7"/>
    <s v="Boletos           "/>
    <n v="25000"/>
    <s v="Viajes"/>
    <s v="Gasto"/>
    <m/>
    <m/>
    <m/>
    <s v="Nii"/>
    <m/>
    <x v="0"/>
    <n v="1"/>
    <m/>
  </r>
  <r>
    <x v="7"/>
    <s v="CarreraJ        "/>
    <n v="15000"/>
    <s v="Juan"/>
    <s v="Gasto"/>
    <m/>
    <m/>
    <m/>
    <s v="Nii"/>
    <m/>
    <x v="0"/>
    <n v="1"/>
    <m/>
  </r>
  <r>
    <x v="7"/>
    <s v="Trabajo"/>
    <n v="619371"/>
    <s v="Ingreso"/>
    <s v="Ingreso"/>
    <m/>
    <m/>
    <m/>
    <s v="Nii"/>
    <m/>
    <x v="0"/>
    <n v="1"/>
    <m/>
  </r>
  <r>
    <x v="7"/>
    <s v="Beca"/>
    <n v="81685"/>
    <s v="Ingreso"/>
    <s v="Ingreso"/>
    <m/>
    <m/>
    <m/>
    <s v="Nii"/>
    <m/>
    <x v="0"/>
    <n v="1"/>
    <m/>
  </r>
  <r>
    <x v="7"/>
    <s v="Prego"/>
    <n v="51600"/>
    <s v="Comida"/>
    <s v="Gasto"/>
    <m/>
    <m/>
    <m/>
    <s v="Nii"/>
    <m/>
    <x v="0"/>
    <n v="1"/>
    <m/>
  </r>
  <r>
    <x v="8"/>
    <s v="Expensas"/>
    <n v="49900"/>
    <s v="Depto"/>
    <s v="Gasto"/>
    <m/>
    <m/>
    <m/>
    <s v="Nii"/>
    <m/>
    <x v="0"/>
    <n v="1"/>
    <m/>
  </r>
  <r>
    <x v="8"/>
    <s v="Gym        "/>
    <n v="16000"/>
    <s v="Salud"/>
    <s v="Gasto"/>
    <m/>
    <m/>
    <m/>
    <s v="Nii"/>
    <m/>
    <x v="0"/>
    <n v="1"/>
    <m/>
  </r>
  <r>
    <x v="8"/>
    <s v="CuotaJuan     "/>
    <n v="131216"/>
    <s v="Juan"/>
    <s v="Gasto"/>
    <m/>
    <m/>
    <m/>
    <s v="Nii"/>
    <m/>
    <x v="0"/>
    <n v="1"/>
    <m/>
  </r>
  <r>
    <x v="8"/>
    <s v="Internet          "/>
    <n v="2200"/>
    <s v="Servicios"/>
    <s v="Gasto"/>
    <m/>
    <m/>
    <m/>
    <s v="Nii"/>
    <m/>
    <x v="0"/>
    <n v="1"/>
    <m/>
  </r>
  <r>
    <x v="8"/>
    <s v="Monitor(5/5)"/>
    <n v="35000"/>
    <s v="Compras"/>
    <s v="Gasto"/>
    <m/>
    <m/>
    <m/>
    <s v="Nii"/>
    <m/>
    <x v="0"/>
    <n v="1"/>
    <m/>
  </r>
  <r>
    <x v="8"/>
    <s v="Stand(5/6)      "/>
    <n v="10953"/>
    <s v="Compras"/>
    <s v="Gasto"/>
    <m/>
    <m/>
    <m/>
    <s v="Nii"/>
    <m/>
    <x v="0"/>
    <n v="1"/>
    <m/>
  </r>
  <r>
    <x v="8"/>
    <s v="• Stick(3/6)        "/>
    <n v="14285"/>
    <s v="Compras"/>
    <s v="Gasto"/>
    <m/>
    <m/>
    <m/>
    <s v="Nii"/>
    <m/>
    <x v="0"/>
    <n v="1"/>
    <m/>
  </r>
  <r>
    <x v="8"/>
    <s v="Xbox                "/>
    <n v="8715"/>
    <s v="Subscripción"/>
    <s v="Gasto"/>
    <m/>
    <m/>
    <m/>
    <s v="Nii"/>
    <m/>
    <x v="0"/>
    <n v="1"/>
    <m/>
  </r>
  <r>
    <x v="8"/>
    <s v="Spotify            "/>
    <n v="2130"/>
    <s v="Subscripción"/>
    <s v="Gasto"/>
    <m/>
    <m/>
    <m/>
    <s v="Nii"/>
    <m/>
    <x v="0"/>
    <n v="1"/>
    <m/>
  </r>
  <r>
    <x v="8"/>
    <s v="Google+        "/>
    <n v="3000"/>
    <s v="Subscripción"/>
    <s v="Gasto"/>
    <m/>
    <m/>
    <m/>
    <s v="Nii"/>
    <m/>
    <x v="0"/>
    <n v="1"/>
    <m/>
  </r>
  <r>
    <x v="8"/>
    <s v="Boletos           "/>
    <n v="25000"/>
    <s v="Viajes"/>
    <s v="Gasto"/>
    <m/>
    <m/>
    <m/>
    <s v="Nii"/>
    <m/>
    <x v="0"/>
    <n v="1"/>
    <m/>
  </r>
  <r>
    <x v="8"/>
    <s v="Bicla               "/>
    <n v="10000"/>
    <s v="Compras"/>
    <s v="Gasto"/>
    <m/>
    <m/>
    <m/>
    <s v="Nii"/>
    <m/>
    <x v="0"/>
    <n v="1"/>
    <m/>
  </r>
  <r>
    <x v="8"/>
    <s v="Trabajo"/>
    <n v="619371"/>
    <s v="Ingreso"/>
    <s v="Ingreso"/>
    <m/>
    <m/>
    <m/>
    <s v="Nii"/>
    <m/>
    <x v="0"/>
    <n v="1"/>
    <m/>
  </r>
  <r>
    <x v="8"/>
    <s v="Beca"/>
    <n v="81685"/>
    <s v="Ingreso"/>
    <s v="Ingreso"/>
    <m/>
    <m/>
    <m/>
    <s v="Nii"/>
    <m/>
    <x v="0"/>
    <n v="1"/>
    <m/>
  </r>
  <r>
    <x v="8"/>
    <s v="Prego"/>
    <n v="59600"/>
    <s v="Comida"/>
    <s v="Gasto"/>
    <m/>
    <m/>
    <m/>
    <s v="Nii"/>
    <m/>
    <x v="0"/>
    <n v="1"/>
    <m/>
  </r>
  <r>
    <x v="9"/>
    <s v="Expensas"/>
    <n v="49900"/>
    <s v="Depto"/>
    <s v="Gasto"/>
    <m/>
    <m/>
    <m/>
    <s v="Nii"/>
    <m/>
    <x v="0"/>
    <n v="1"/>
    <m/>
  </r>
  <r>
    <x v="9"/>
    <s v="Gym        "/>
    <n v="18000"/>
    <s v="Salud"/>
    <s v="Gasto"/>
    <m/>
    <m/>
    <m/>
    <s v="Nii"/>
    <m/>
    <x v="0"/>
    <n v="1"/>
    <m/>
  </r>
  <r>
    <x v="9"/>
    <s v="CuotaJuan     "/>
    <n v="134028"/>
    <s v="Juan"/>
    <s v="Gasto"/>
    <m/>
    <m/>
    <m/>
    <s v="Nii"/>
    <m/>
    <x v="0"/>
    <n v="1"/>
    <m/>
  </r>
  <r>
    <x v="9"/>
    <s v="Internet          "/>
    <n v="2200"/>
    <s v="Servicios"/>
    <s v="Gasto"/>
    <m/>
    <m/>
    <m/>
    <s v="Nii"/>
    <m/>
    <x v="0"/>
    <n v="1"/>
    <m/>
  </r>
  <r>
    <x v="9"/>
    <s v="Bici(1/5)        "/>
    <n v="32600"/>
    <s v="Compras"/>
    <s v="Gasto"/>
    <m/>
    <m/>
    <m/>
    <s v="Nii"/>
    <m/>
    <x v="0"/>
    <n v="1"/>
    <m/>
  </r>
  <r>
    <x v="9"/>
    <s v="Stand(6/6)     "/>
    <n v="10953"/>
    <s v="Compras"/>
    <s v="Gasto"/>
    <m/>
    <m/>
    <m/>
    <s v="Nii"/>
    <m/>
    <x v="0"/>
    <n v="1"/>
    <m/>
  </r>
  <r>
    <x v="9"/>
    <s v="• Stick(4/6)       "/>
    <n v="14285"/>
    <s v="Compras"/>
    <s v="Gasto"/>
    <m/>
    <m/>
    <m/>
    <s v="Nii"/>
    <m/>
    <x v="0"/>
    <n v="1"/>
    <m/>
  </r>
  <r>
    <x v="9"/>
    <s v="Xbox                "/>
    <n v="8715"/>
    <s v="Subscripción"/>
    <s v="Gasto"/>
    <m/>
    <m/>
    <m/>
    <s v="Nii"/>
    <m/>
    <x v="0"/>
    <n v="1"/>
    <m/>
  </r>
  <r>
    <x v="9"/>
    <s v="Spotify            "/>
    <n v="2130"/>
    <s v="Subscripción"/>
    <s v="Gasto"/>
    <m/>
    <m/>
    <m/>
    <s v="Nii"/>
    <m/>
    <x v="0"/>
    <n v="1"/>
    <m/>
  </r>
  <r>
    <x v="9"/>
    <s v="Google+        "/>
    <n v="3000"/>
    <s v="Subscripción"/>
    <s v="Gasto"/>
    <m/>
    <m/>
    <m/>
    <s v="Nii"/>
    <m/>
    <x v="0"/>
    <n v="1"/>
    <m/>
  </r>
  <r>
    <x v="9"/>
    <s v="Boletos           "/>
    <n v="25000"/>
    <s v="Viajes"/>
    <s v="Gasto"/>
    <m/>
    <m/>
    <m/>
    <s v="Nii"/>
    <m/>
    <x v="0"/>
    <n v="1"/>
    <m/>
  </r>
  <r>
    <x v="9"/>
    <s v="CarreraJuan "/>
    <n v="20000"/>
    <s v="Juan"/>
    <s v="Gasto"/>
    <m/>
    <m/>
    <m/>
    <s v="Nii"/>
    <m/>
    <x v="0"/>
    <n v="1"/>
    <m/>
  </r>
  <r>
    <x v="9"/>
    <s v="Trabajo"/>
    <n v="685494"/>
    <s v="Ingreso"/>
    <s v="Ingreso"/>
    <m/>
    <m/>
    <m/>
    <s v="Nii"/>
    <m/>
    <x v="0"/>
    <n v="1"/>
    <m/>
  </r>
  <r>
    <x v="9"/>
    <s v="Beca"/>
    <n v="81685"/>
    <s v="Ingreso"/>
    <s v="Ingreso"/>
    <m/>
    <m/>
    <m/>
    <s v="Nii"/>
    <m/>
    <x v="0"/>
    <n v="1"/>
    <m/>
  </r>
  <r>
    <x v="9"/>
    <s v="Prego"/>
    <n v="80000"/>
    <s v="Comida"/>
    <s v="Gasto"/>
    <m/>
    <m/>
    <m/>
    <s v="Nii"/>
    <m/>
    <x v="0"/>
    <n v="1"/>
    <m/>
  </r>
  <r>
    <x v="10"/>
    <s v="Expensas"/>
    <n v="57102"/>
    <s v="Depto"/>
    <s v="Gasto"/>
    <m/>
    <m/>
    <m/>
    <s v="Nii"/>
    <m/>
    <x v="0"/>
    <n v="1"/>
    <m/>
  </r>
  <r>
    <x v="10"/>
    <s v="Gym        "/>
    <n v="18000"/>
    <s v="Salud"/>
    <s v="Gasto"/>
    <m/>
    <m/>
    <m/>
    <s v="Nii"/>
    <m/>
    <x v="0"/>
    <n v="1"/>
    <m/>
  </r>
  <r>
    <x v="10"/>
    <s v="CuotaJuan     "/>
    <n v="135786"/>
    <s v="Juan"/>
    <s v="Gasto"/>
    <m/>
    <m/>
    <m/>
    <s v="Nii"/>
    <m/>
    <x v="0"/>
    <n v="1"/>
    <m/>
  </r>
  <r>
    <x v="10"/>
    <s v="Internet          "/>
    <n v="2200"/>
    <s v="Servicios"/>
    <s v="Gasto"/>
    <m/>
    <m/>
    <m/>
    <s v="Nii"/>
    <m/>
    <x v="0"/>
    <n v="1"/>
    <m/>
  </r>
  <r>
    <x v="10"/>
    <s v="Bici(2/5)        "/>
    <n v="32600"/>
    <s v="Compras"/>
    <s v="Gasto"/>
    <m/>
    <m/>
    <m/>
    <s v="Nii"/>
    <m/>
    <x v="0"/>
    <n v="1"/>
    <m/>
  </r>
  <r>
    <x v="10"/>
    <s v="Stick(5/6)       "/>
    <n v="14285"/>
    <s v="Compras"/>
    <s v="Gasto"/>
    <m/>
    <m/>
    <m/>
    <s v="Nii"/>
    <m/>
    <x v="0"/>
    <n v="1"/>
    <m/>
  </r>
  <r>
    <x v="10"/>
    <s v="• Auris(1/6)      "/>
    <n v="16552"/>
    <s v="Compras"/>
    <s v="Gasto"/>
    <m/>
    <m/>
    <m/>
    <s v="Nii"/>
    <m/>
    <x v="0"/>
    <n v="1"/>
    <m/>
  </r>
  <r>
    <x v="10"/>
    <s v="Xbox                "/>
    <n v="8715"/>
    <s v="Subscripción"/>
    <s v="Gasto"/>
    <m/>
    <m/>
    <m/>
    <s v="Nii"/>
    <m/>
    <x v="0"/>
    <n v="1"/>
    <m/>
  </r>
  <r>
    <x v="10"/>
    <s v="Spotify            "/>
    <n v="2130"/>
    <s v="Subscripción"/>
    <s v="Gasto"/>
    <m/>
    <m/>
    <m/>
    <s v="Nii"/>
    <m/>
    <x v="0"/>
    <n v="1"/>
    <m/>
  </r>
  <r>
    <x v="10"/>
    <s v="Google+        "/>
    <n v="3000"/>
    <s v="Subscripción"/>
    <s v="Gasto"/>
    <m/>
    <m/>
    <m/>
    <s v="Nii"/>
    <m/>
    <x v="0"/>
    <n v="1"/>
    <m/>
  </r>
  <r>
    <x v="10"/>
    <s v="Boletos           "/>
    <n v="25000"/>
    <s v="Viajes"/>
    <s v="Gasto"/>
    <m/>
    <m/>
    <m/>
    <s v="Nii"/>
    <m/>
    <x v="0"/>
    <n v="1"/>
    <m/>
  </r>
  <r>
    <x v="10"/>
    <s v="CarreraJuan "/>
    <n v="20000"/>
    <s v="Juan"/>
    <s v="Gasto"/>
    <m/>
    <m/>
    <m/>
    <s v="Nii"/>
    <m/>
    <x v="0"/>
    <n v="1"/>
    <m/>
  </r>
  <r>
    <x v="10"/>
    <s v="Apse               "/>
    <n v="33688"/>
    <s v="Compras"/>
    <s v="Gasto"/>
    <m/>
    <m/>
    <m/>
    <s v="Nii"/>
    <m/>
    <x v="0"/>
    <n v="1"/>
    <m/>
  </r>
  <r>
    <x v="10"/>
    <s v="Trabajo"/>
    <n v="719769"/>
    <s v="Ingreso"/>
    <s v="Ingreso"/>
    <m/>
    <m/>
    <m/>
    <s v="Nii"/>
    <m/>
    <x v="0"/>
    <n v="1"/>
    <m/>
  </r>
  <r>
    <x v="10"/>
    <s v="Beca"/>
    <n v="81685"/>
    <s v="Ingreso"/>
    <s v="Ingreso"/>
    <m/>
    <m/>
    <m/>
    <s v="Nii"/>
    <m/>
    <x v="0"/>
    <n v="1"/>
    <m/>
  </r>
  <r>
    <x v="10"/>
    <s v="Prego"/>
    <n v="80000"/>
    <s v="Comida"/>
    <s v="Gasto"/>
    <m/>
    <m/>
    <m/>
    <s v="Nii"/>
    <m/>
    <x v="0"/>
    <n v="1"/>
    <m/>
  </r>
  <r>
    <x v="11"/>
    <s v="Expensas"/>
    <n v="71378"/>
    <s v="Depto"/>
    <s v="Gasto"/>
    <m/>
    <m/>
    <m/>
    <s v="Nii"/>
    <m/>
    <x v="0"/>
    <n v="1"/>
    <m/>
  </r>
  <r>
    <x v="11"/>
    <s v="Gym        "/>
    <n v="18000"/>
    <s v="Salud"/>
    <s v="Gasto"/>
    <m/>
    <m/>
    <m/>
    <s v="Nii"/>
    <m/>
    <x v="0"/>
    <n v="1"/>
    <m/>
  </r>
  <r>
    <x v="11"/>
    <s v="CuotaJuan     "/>
    <n v="203678"/>
    <s v="Juan"/>
    <s v="Gasto"/>
    <m/>
    <m/>
    <m/>
    <s v="Nii"/>
    <m/>
    <x v="0"/>
    <n v="1"/>
    <m/>
  </r>
  <r>
    <x v="11"/>
    <s v="Internet          "/>
    <n v="2200"/>
    <s v="Servicios"/>
    <s v="Gasto"/>
    <m/>
    <m/>
    <m/>
    <s v="Nii"/>
    <m/>
    <x v="0"/>
    <n v="1"/>
    <m/>
  </r>
  <r>
    <x v="11"/>
    <s v="Bici(3/5)        "/>
    <n v="32600"/>
    <s v="Compras"/>
    <s v="Gasto"/>
    <m/>
    <m/>
    <m/>
    <s v="Nii"/>
    <m/>
    <x v="0"/>
    <n v="1"/>
    <m/>
  </r>
  <r>
    <x v="11"/>
    <s v="• Cuotaalquil  "/>
    <n v="180000"/>
    <s v="Depto"/>
    <s v="Gasto"/>
    <m/>
    <m/>
    <m/>
    <s v="Nii"/>
    <m/>
    <x v="0"/>
    <n v="1"/>
    <m/>
  </r>
  <r>
    <x v="11"/>
    <s v="Stick(6/6)       "/>
    <n v="14285"/>
    <s v="Compras"/>
    <s v="Gasto"/>
    <m/>
    <m/>
    <m/>
    <s v="Nii"/>
    <m/>
    <x v="0"/>
    <n v="1"/>
    <m/>
  </r>
  <r>
    <x v="11"/>
    <s v="Auris(2/6)      "/>
    <n v="16552"/>
    <s v="Compras"/>
    <s v="Gasto"/>
    <m/>
    <m/>
    <m/>
    <s v="Nii"/>
    <m/>
    <x v="0"/>
    <n v="1"/>
    <m/>
  </r>
  <r>
    <x v="11"/>
    <s v="Xbox                "/>
    <n v="8715"/>
    <s v="Subscripción"/>
    <s v="Gasto"/>
    <m/>
    <m/>
    <m/>
    <s v="Nii"/>
    <m/>
    <x v="0"/>
    <n v="1"/>
    <m/>
  </r>
  <r>
    <x v="11"/>
    <s v="Spotify            "/>
    <n v="2130"/>
    <s v="Subscripción"/>
    <s v="Gasto"/>
    <m/>
    <m/>
    <m/>
    <s v="Nii"/>
    <m/>
    <x v="0"/>
    <n v="1"/>
    <m/>
  </r>
  <r>
    <x v="11"/>
    <s v="Google+        "/>
    <n v="3000"/>
    <s v="Subscripción"/>
    <s v="Gasto"/>
    <m/>
    <m/>
    <m/>
    <s v="Nii"/>
    <m/>
    <x v="0"/>
    <n v="1"/>
    <m/>
  </r>
  <r>
    <x v="11"/>
    <s v="Boletos           "/>
    <n v="32000"/>
    <s v="Viajes"/>
    <s v="Gasto"/>
    <m/>
    <m/>
    <m/>
    <s v="Nii"/>
    <m/>
    <x v="0"/>
    <n v="1"/>
    <m/>
  </r>
  <r>
    <x v="11"/>
    <s v="Obsequios     "/>
    <n v="40000"/>
    <s v="Varios"/>
    <s v="Gasto"/>
    <m/>
    <m/>
    <m/>
    <s v="Nii"/>
    <m/>
    <x v="0"/>
    <n v="1"/>
    <m/>
  </r>
  <r>
    <x v="11"/>
    <s v="Kine                "/>
    <n v="28000"/>
    <s v="Salud"/>
    <s v="Gasto"/>
    <m/>
    <m/>
    <m/>
    <s v="Nii"/>
    <m/>
    <x v="0"/>
    <n v="1"/>
    <m/>
  </r>
  <r>
    <x v="11"/>
    <s v="Trabajo"/>
    <n v="1482606"/>
    <s v="Ingreso"/>
    <s v="Ingreso"/>
    <m/>
    <m/>
    <m/>
    <s v="Nii"/>
    <m/>
    <x v="0"/>
    <n v="1"/>
    <m/>
  </r>
  <r>
    <x v="11"/>
    <s v="Beca"/>
    <n v="81685"/>
    <s v="Ingreso"/>
    <s v="Ingreso"/>
    <m/>
    <m/>
    <m/>
    <s v="Nii"/>
    <m/>
    <x v="0"/>
    <n v="1"/>
    <m/>
  </r>
  <r>
    <x v="11"/>
    <s v="Prego"/>
    <n v="52500"/>
    <s v="Comida"/>
    <s v="Gasto"/>
    <m/>
    <m/>
    <m/>
    <s v="Nii"/>
    <m/>
    <x v="0"/>
    <n v="1"/>
    <m/>
  </r>
  <r>
    <x v="12"/>
    <s v="Expensas"/>
    <n v="71000"/>
    <s v="Depto"/>
    <s v="Gasto"/>
    <m/>
    <m/>
    <m/>
    <s v="Gastos del mes pagar Papi"/>
    <n v="1"/>
    <x v="0"/>
    <n v="1"/>
    <m/>
  </r>
  <r>
    <x v="12"/>
    <s v="Gym        "/>
    <n v="18000"/>
    <s v="Salud"/>
    <s v="Gasto"/>
    <m/>
    <m/>
    <m/>
    <s v="Gastos del mes pagar Papi"/>
    <n v="1"/>
    <x v="0"/>
    <n v="1"/>
    <m/>
  </r>
  <r>
    <x v="12"/>
    <s v="CuotaJuan"/>
    <n v="139859"/>
    <s v="Juan"/>
    <s v="Gasto"/>
    <m/>
    <m/>
    <m/>
    <s v="Gastos del mes pagar Papi"/>
    <n v="1"/>
    <x v="0"/>
    <n v="1"/>
    <m/>
  </r>
  <r>
    <x v="12"/>
    <s v="Internet          "/>
    <n v="2200"/>
    <s v="Servicios"/>
    <s v="Gasto"/>
    <m/>
    <m/>
    <m/>
    <s v="Gastos del mes pagar Papi"/>
    <n v="1"/>
    <x v="0"/>
    <n v="1"/>
    <m/>
  </r>
  <r>
    <x v="12"/>
    <s v="Bici(4/5)        "/>
    <n v="32600"/>
    <s v="Compras"/>
    <s v="Gasto"/>
    <m/>
    <n v="5"/>
    <n v="4"/>
    <s v="Gastos del mes pagar Papi"/>
    <n v="1"/>
    <x v="0"/>
    <n v="1"/>
    <m/>
  </r>
  <r>
    <x v="12"/>
    <s v="Luz                   "/>
    <n v="21000"/>
    <s v="Servicios"/>
    <s v="Gasto"/>
    <m/>
    <m/>
    <m/>
    <s v="Gastos del mes pagar Papi"/>
    <n v="1"/>
    <x v="0"/>
    <n v="1"/>
    <m/>
  </r>
  <r>
    <x v="12"/>
    <s v="Auris(3/6)      "/>
    <n v="16552"/>
    <s v="Compras"/>
    <s v="Gasto"/>
    <m/>
    <n v="6"/>
    <n v="3"/>
    <s v="Gastos del mes debitables"/>
    <n v="2"/>
    <x v="0"/>
    <n v="1"/>
    <m/>
  </r>
  <r>
    <x v="12"/>
    <s v="Xbox                "/>
    <n v="9122"/>
    <s v="Subscripción"/>
    <s v="Gasto"/>
    <m/>
    <m/>
    <m/>
    <s v="Gastos del mes debitables"/>
    <n v="2"/>
    <x v="0"/>
    <n v="1"/>
    <m/>
  </r>
  <r>
    <x v="12"/>
    <s v="Spotify            "/>
    <n v="2000"/>
    <s v="Subscripción"/>
    <s v="Gasto"/>
    <m/>
    <m/>
    <m/>
    <s v="Gastos del mes debitables"/>
    <n v="2"/>
    <x v="0"/>
    <n v="1"/>
    <m/>
  </r>
  <r>
    <x v="12"/>
    <s v="Google+        "/>
    <n v="3391"/>
    <s v="Subscripción"/>
    <s v="Gasto"/>
    <m/>
    <m/>
    <m/>
    <s v="Gastos del mes debitables"/>
    <n v="2"/>
    <x v="0"/>
    <n v="1"/>
    <m/>
  </r>
  <r>
    <x v="12"/>
    <s v="(Vacas)            "/>
    <n v="100000"/>
    <s v="Vacaciones"/>
    <s v="Gasto"/>
    <m/>
    <m/>
    <m/>
    <s v="Gastos variables del mes a pagar"/>
    <n v="3"/>
    <x v="0"/>
    <n v="1"/>
    <m/>
  </r>
  <r>
    <x v="12"/>
    <s v="Obsequios     "/>
    <n v="40000"/>
    <s v="Varios"/>
    <s v="Gasto"/>
    <m/>
    <m/>
    <m/>
    <s v="Gastos variables del mes a pagar"/>
    <n v="3"/>
    <x v="0"/>
    <n v="1"/>
    <m/>
  </r>
  <r>
    <x v="12"/>
    <s v=" Prego              "/>
    <n v="52500"/>
    <s v="Comida"/>
    <s v="Gasto"/>
    <m/>
    <m/>
    <m/>
    <s v="Gastos del mes debitables"/>
    <n v="2"/>
    <x v="0"/>
    <n v="1"/>
    <m/>
  </r>
  <r>
    <x v="12"/>
    <s v=" Kine                "/>
    <n v="33000"/>
    <s v="Salud"/>
    <s v="Gasto"/>
    <m/>
    <m/>
    <m/>
    <s v="Gastos del mes debitables"/>
    <n v="2"/>
    <x v="0"/>
    <n v="1"/>
    <m/>
  </r>
  <r>
    <x v="12"/>
    <s v="Trabajo"/>
    <n v="865083"/>
    <s v="Ingreso"/>
    <s v="Ingreso"/>
    <m/>
    <m/>
    <m/>
    <s v="Cobro Mensual"/>
    <n v="4"/>
    <x v="0"/>
    <n v="1"/>
    <m/>
  </r>
  <r>
    <x v="12"/>
    <s v="Beca"/>
    <n v="81685"/>
    <s v="Ingreso"/>
    <s v="Ingreso"/>
    <m/>
    <m/>
    <m/>
    <s v="Cobro Mensual"/>
    <n v="4"/>
    <x v="0"/>
    <n v="1"/>
    <m/>
  </r>
  <r>
    <x v="12"/>
    <s v="Bicicross"/>
    <n v="34000"/>
    <s v="Juan"/>
    <s v="Gasto"/>
    <m/>
    <m/>
    <m/>
    <s v="Gastos del mes debitables"/>
    <n v="2"/>
    <x v="0"/>
    <n v="1"/>
    <m/>
  </r>
  <r>
    <x v="12"/>
    <s v="Youtube"/>
    <n v="1904"/>
    <s v="Subscripción"/>
    <s v="Gasto"/>
    <m/>
    <m/>
    <m/>
    <s v="Gastos del mes debitables"/>
    <n v="2"/>
    <x v="0"/>
    <n v="1"/>
    <m/>
  </r>
  <r>
    <x v="12"/>
    <s v="Monotributo"/>
    <n v="51198"/>
    <s v="Monotributo"/>
    <s v="Gasto"/>
    <m/>
    <m/>
    <m/>
    <s v="Gastos del mes debitables"/>
    <n v="2"/>
    <x v="0"/>
    <n v="1"/>
    <m/>
  </r>
  <r>
    <x v="13"/>
    <s v="Expensas"/>
    <n v="76300"/>
    <s v="Depto"/>
    <s v="Gasto"/>
    <m/>
    <m/>
    <m/>
    <s v="Gastos del mes pagar Papi"/>
    <n v="1"/>
    <x v="0"/>
    <n v="1"/>
    <m/>
  </r>
  <r>
    <x v="13"/>
    <s v="Gym        "/>
    <n v="25000"/>
    <s v="Salud"/>
    <s v="Gasto"/>
    <m/>
    <m/>
    <m/>
    <s v="Gastos del mes pagar Papi"/>
    <n v="1"/>
    <x v="0"/>
    <n v="1"/>
    <m/>
  </r>
  <r>
    <x v="13"/>
    <s v="CuotaJuan"/>
    <n v="143355.5"/>
    <s v="Juan"/>
    <s v="Gasto"/>
    <m/>
    <m/>
    <m/>
    <s v="Gastos del mes pagar Papi"/>
    <n v="1"/>
    <x v="0"/>
    <n v="1"/>
    <m/>
  </r>
  <r>
    <x v="13"/>
    <s v="Internet"/>
    <n v="10000"/>
    <s v="Servicios"/>
    <s v="Gasto"/>
    <m/>
    <m/>
    <m/>
    <s v="Gastos del mes pagar Papi"/>
    <n v="1"/>
    <x v="0"/>
    <n v="1"/>
    <m/>
  </r>
  <r>
    <x v="13"/>
    <s v="Bici(5/5)"/>
    <n v="32600"/>
    <s v="Compras"/>
    <s v="Gasto"/>
    <m/>
    <n v="5"/>
    <n v="5"/>
    <s v="Gastos del mes pagar Papi"/>
    <n v="1"/>
    <x v="0"/>
    <n v="1"/>
    <m/>
  </r>
  <r>
    <x v="13"/>
    <s v="Luz"/>
    <n v="22384"/>
    <s v="Servicios"/>
    <s v="Gasto"/>
    <m/>
    <m/>
    <m/>
    <s v="Gastos del mes pagar Papi"/>
    <n v="1"/>
    <x v="0"/>
    <n v="1"/>
    <m/>
  </r>
  <r>
    <x v="13"/>
    <s v="Auris(4/6)"/>
    <n v="16552"/>
    <s v="Compras"/>
    <s v="Gasto"/>
    <m/>
    <n v="6"/>
    <n v="4"/>
    <s v="Gastos del mes debitables"/>
    <n v="2"/>
    <x v="0"/>
    <n v="1"/>
    <m/>
  </r>
  <r>
    <x v="13"/>
    <s v="Xbox"/>
    <n v="9122"/>
    <s v="Subscripción"/>
    <s v="Gasto"/>
    <m/>
    <m/>
    <m/>
    <s v="Gastos del mes debitables"/>
    <n v="2"/>
    <x v="0"/>
    <n v="1"/>
    <m/>
  </r>
  <r>
    <x v="13"/>
    <s v="Spotify"/>
    <n v="2000"/>
    <s v="Subscripción"/>
    <s v="Gasto"/>
    <m/>
    <m/>
    <m/>
    <s v="Gastos del mes debitables"/>
    <n v="2"/>
    <x v="0"/>
    <n v="1"/>
    <m/>
  </r>
  <r>
    <x v="13"/>
    <s v="Google"/>
    <n v="3391"/>
    <s v="Subscripción"/>
    <s v="Gasto"/>
    <m/>
    <m/>
    <m/>
    <s v="Gastos del mes debitables"/>
    <n v="2"/>
    <x v="0"/>
    <n v="1"/>
    <m/>
  </r>
  <r>
    <x v="13"/>
    <s v="Amazon"/>
    <n v="2500"/>
    <s v="Subscripción"/>
    <s v="Gasto"/>
    <m/>
    <m/>
    <m/>
    <s v="Gastos del mes debitables"/>
    <n v="2"/>
    <x v="0"/>
    <n v="1"/>
    <m/>
  </r>
  <r>
    <x v="13"/>
    <s v="(Vacas)"/>
    <n v="55000"/>
    <s v="Vacaciones"/>
    <s v="Gasto"/>
    <m/>
    <m/>
    <m/>
    <s v="Gastos variables del mes a pagar"/>
    <n v="3"/>
    <x v="0"/>
    <n v="1"/>
    <m/>
  </r>
  <r>
    <x v="13"/>
    <s v="Obsequios"/>
    <n v="40000"/>
    <s v="Varios"/>
    <s v="Gasto"/>
    <m/>
    <m/>
    <m/>
    <s v="Gastos variables del mes a pagar"/>
    <n v="3"/>
    <x v="0"/>
    <n v="1"/>
    <m/>
  </r>
  <r>
    <x v="13"/>
    <s v="Comida"/>
    <n v="52500"/>
    <s v="Comida"/>
    <s v="Gasto"/>
    <m/>
    <m/>
    <m/>
    <s v="Gastos del mes debitables"/>
    <n v="2"/>
    <x v="0"/>
    <n v="1"/>
    <m/>
  </r>
  <r>
    <x v="13"/>
    <s v=" Kine"/>
    <n v="16500"/>
    <s v="Salud"/>
    <s v="Gasto"/>
    <m/>
    <m/>
    <m/>
    <s v="Gastos del mes debitables"/>
    <n v="2"/>
    <x v="0"/>
    <n v="1"/>
    <m/>
  </r>
  <r>
    <x v="13"/>
    <s v="Trabajo"/>
    <n v="1144500"/>
    <s v="Ingreso"/>
    <s v="Ingreso"/>
    <m/>
    <m/>
    <m/>
    <s v="Cobro Mensual"/>
    <n v="4"/>
    <x v="0"/>
    <n v="1"/>
    <m/>
  </r>
  <r>
    <x v="13"/>
    <s v="Beca"/>
    <n v="81685"/>
    <s v="Ingreso"/>
    <s v="Ingreso"/>
    <m/>
    <m/>
    <m/>
    <s v="Cobro Mensual"/>
    <n v="4"/>
    <x v="0"/>
    <n v="1"/>
    <m/>
  </r>
  <r>
    <x v="13"/>
    <s v="Bicicross"/>
    <n v="38000"/>
    <s v="Juan"/>
    <s v="Gasto"/>
    <m/>
    <m/>
    <m/>
    <s v="Gastos del mes debitables"/>
    <n v="2"/>
    <x v="0"/>
    <n v="1"/>
    <m/>
  </r>
  <r>
    <x v="13"/>
    <s v="Seguro bmx"/>
    <n v="40000"/>
    <s v="Juan"/>
    <s v="Gasto"/>
    <m/>
    <m/>
    <m/>
    <s v="Gastos del mes debitables"/>
    <n v="2"/>
    <x v="0"/>
    <n v="1"/>
    <m/>
  </r>
  <r>
    <x v="13"/>
    <s v="Carrera bmx"/>
    <n v="20000"/>
    <s v="Juan"/>
    <s v="Gasto"/>
    <m/>
    <m/>
    <m/>
    <s v="Gastos del mes debitables"/>
    <n v="2"/>
    <x v="0"/>
    <n v="1"/>
    <m/>
  </r>
  <r>
    <x v="13"/>
    <s v="Utiles colegio"/>
    <n v="20000"/>
    <s v="Juan"/>
    <s v="Gasto"/>
    <m/>
    <m/>
    <m/>
    <s v="Gastos del mes debitables"/>
    <n v="2"/>
    <x v="0"/>
    <n v="1"/>
    <m/>
  </r>
  <r>
    <x v="13"/>
    <s v="Youtube"/>
    <n v="1904"/>
    <s v="Subscripción"/>
    <s v="Gasto"/>
    <m/>
    <m/>
    <m/>
    <s v="Gastos del mes debitables"/>
    <n v="2"/>
    <x v="0"/>
    <n v="1"/>
    <m/>
  </r>
  <r>
    <x v="13"/>
    <s v="Monotributo"/>
    <n v="62000"/>
    <s v="Monotributo"/>
    <s v="Gasto"/>
    <m/>
    <m/>
    <m/>
    <s v="Gastos del mes debitables"/>
    <n v="2"/>
    <x v="0"/>
    <n v="1"/>
    <m/>
  </r>
  <r>
    <x v="13"/>
    <s v="Micro"/>
    <n v="46584"/>
    <s v="PC"/>
    <s v="Gasto"/>
    <m/>
    <n v="6"/>
    <n v="1"/>
    <s v="Gastos del mes debitables"/>
    <n v="2"/>
    <x v="0"/>
    <n v="1"/>
    <m/>
  </r>
  <r>
    <x v="13"/>
    <s v="SSD NVMe"/>
    <n v="10637"/>
    <s v="PC"/>
    <s v="Gasto"/>
    <m/>
    <n v="6"/>
    <n v="1"/>
    <s v="Gastos del mes pagar Papi"/>
    <n v="1"/>
    <x v="0"/>
    <n v="1"/>
    <m/>
  </r>
  <r>
    <x v="13"/>
    <s v="Herramientas"/>
    <n v="15250"/>
    <s v="Compras"/>
    <s v="Gasto"/>
    <m/>
    <n v="4"/>
    <n v="1"/>
    <s v="Gastos del mes pagar Papi"/>
    <n v="1"/>
    <x v="0"/>
    <n v="1"/>
    <m/>
  </r>
  <r>
    <x v="13"/>
    <s v="Open English"/>
    <n v="70000"/>
    <s v="Varios"/>
    <s v="Gasto"/>
    <m/>
    <n v="2"/>
    <n v="1"/>
    <s v="Gastos del mes debitables"/>
    <n v="2"/>
    <x v="0"/>
    <n v="1"/>
    <m/>
  </r>
  <r>
    <x v="14"/>
    <s v="Expensas"/>
    <n v="77500"/>
    <s v="Depto"/>
    <s v="Gasto"/>
    <m/>
    <m/>
    <m/>
    <s v="Gastos del mes pagar Papi"/>
    <n v="1"/>
    <x v="0"/>
    <n v="1"/>
    <m/>
  </r>
  <r>
    <x v="14"/>
    <s v="Gym        "/>
    <n v="25000"/>
    <s v="Salud"/>
    <s v="Gasto"/>
    <m/>
    <m/>
    <m/>
    <s v="Gastos del mes pagar Papi"/>
    <n v="1"/>
    <x v="0"/>
    <n v="1"/>
    <m/>
  </r>
  <r>
    <x v="14"/>
    <s v="CuotaJuan"/>
    <n v="146223"/>
    <s v="Juan"/>
    <s v="Gasto"/>
    <m/>
    <m/>
    <m/>
    <s v="Gastos del mes pagar Papi"/>
    <n v="1"/>
    <x v="0"/>
    <n v="1"/>
    <m/>
  </r>
  <r>
    <x v="14"/>
    <s v="Internet"/>
    <n v="10000"/>
    <s v="Servicios"/>
    <s v="Gasto"/>
    <m/>
    <m/>
    <m/>
    <s v="Gastos del mes pagar Papi"/>
    <n v="1"/>
    <x v="0"/>
    <n v="1"/>
    <m/>
  </r>
  <r>
    <x v="14"/>
    <s v="Luz"/>
    <n v="42883"/>
    <s v="Servicios"/>
    <s v="Gasto"/>
    <m/>
    <m/>
    <m/>
    <s v="Gastos del mes pagar Papi"/>
    <n v="1"/>
    <x v="0"/>
    <n v="1"/>
    <m/>
  </r>
  <r>
    <x v="14"/>
    <s v="Auris(5/6)"/>
    <n v="16552"/>
    <s v="Creditos"/>
    <s v="Gasto"/>
    <m/>
    <n v="6"/>
    <n v="4"/>
    <s v="Gastos del mes debitables"/>
    <n v="2"/>
    <x v="0"/>
    <n v="1"/>
    <m/>
  </r>
  <r>
    <x v="14"/>
    <s v="Xbox"/>
    <n v="9122"/>
    <s v="Subscripción"/>
    <s v="Gasto"/>
    <m/>
    <m/>
    <m/>
    <s v="Gastos del mes debitables"/>
    <n v="2"/>
    <x v="0"/>
    <n v="1"/>
    <m/>
  </r>
  <r>
    <x v="14"/>
    <s v="Spotify"/>
    <n v="2000"/>
    <s v="Subscripción"/>
    <s v="Gasto"/>
    <m/>
    <m/>
    <m/>
    <s v="Gastos del mes debitables"/>
    <n v="2"/>
    <x v="0"/>
    <n v="1"/>
    <m/>
  </r>
  <r>
    <x v="14"/>
    <s v="Google"/>
    <n v="3391"/>
    <s v="Subscripción"/>
    <s v="Gasto"/>
    <m/>
    <m/>
    <m/>
    <s v="Gastos del mes debitables"/>
    <n v="2"/>
    <x v="0"/>
    <n v="1"/>
    <m/>
  </r>
  <r>
    <x v="14"/>
    <s v="Amazon"/>
    <n v="2500"/>
    <s v="Subscripción"/>
    <s v="Gasto"/>
    <m/>
    <m/>
    <m/>
    <s v="Gastos del mes debitables"/>
    <n v="2"/>
    <x v="0"/>
    <n v="1"/>
    <m/>
  </r>
  <r>
    <x v="14"/>
    <s v="Obsequios"/>
    <n v="30000"/>
    <s v="Varios"/>
    <s v="Gasto"/>
    <m/>
    <m/>
    <m/>
    <s v="Gastos variables del mes a pagar"/>
    <n v="3"/>
    <x v="0"/>
    <n v="1"/>
    <m/>
  </r>
  <r>
    <x v="14"/>
    <s v="Comida"/>
    <n v="52500"/>
    <s v="Comida"/>
    <s v="Gasto"/>
    <m/>
    <m/>
    <m/>
    <s v="Gastos del mes debitables"/>
    <n v="2"/>
    <x v="0"/>
    <n v="1"/>
    <m/>
  </r>
  <r>
    <x v="14"/>
    <s v=" Kine"/>
    <n v="16500"/>
    <s v="Salud"/>
    <s v="Gasto"/>
    <m/>
    <m/>
    <m/>
    <s v="Gastos del mes debitables"/>
    <n v="2"/>
    <x v="0"/>
    <n v="1"/>
    <m/>
  </r>
  <r>
    <x v="14"/>
    <s v="Trabajo"/>
    <n v="1085000"/>
    <s v="Ingreso"/>
    <s v="Ingreso"/>
    <m/>
    <m/>
    <m/>
    <s v="Cobro Mensual"/>
    <n v="4"/>
    <x v="0"/>
    <n v="1"/>
    <m/>
  </r>
  <r>
    <x v="14"/>
    <s v="Beca"/>
    <n v="81685"/>
    <s v="Ingreso"/>
    <s v="Ingreso"/>
    <m/>
    <m/>
    <m/>
    <s v="Cobro Mensual"/>
    <n v="4"/>
    <x v="0"/>
    <n v="1"/>
    <m/>
  </r>
  <r>
    <x v="14"/>
    <s v="Bicicross"/>
    <n v="23000"/>
    <s v="Juan"/>
    <s v="Gasto"/>
    <m/>
    <m/>
    <m/>
    <s v="Gastos del mes debitables"/>
    <n v="2"/>
    <x v="0"/>
    <n v="1"/>
    <m/>
  </r>
  <r>
    <x v="14"/>
    <s v="Youtube"/>
    <n v="1904"/>
    <s v="Subscripción"/>
    <s v="Gasto"/>
    <m/>
    <m/>
    <m/>
    <s v="Gastos del mes debitables"/>
    <n v="2"/>
    <x v="0"/>
    <n v="1"/>
    <m/>
  </r>
  <r>
    <x v="14"/>
    <s v="Monotributo"/>
    <n v="62000"/>
    <s v="Monotributo"/>
    <s v="Gasto"/>
    <m/>
    <m/>
    <m/>
    <s v="Gastos del mes debitables"/>
    <n v="2"/>
    <x v="0"/>
    <n v="1"/>
    <m/>
  </r>
  <r>
    <x v="14"/>
    <s v="Micro"/>
    <n v="46584"/>
    <s v="Creditos"/>
    <s v="Gasto"/>
    <m/>
    <n v="6"/>
    <n v="2"/>
    <s v="Gastos del mes debitables"/>
    <n v="2"/>
    <x v="0"/>
    <n v="1"/>
    <m/>
  </r>
  <r>
    <x v="14"/>
    <s v="SSD NVMe"/>
    <n v="10637"/>
    <s v="PC"/>
    <s v="Gasto"/>
    <m/>
    <n v="6"/>
    <n v="2"/>
    <s v="Gastos del mes pagar Papi"/>
    <n v="1"/>
    <x v="0"/>
    <n v="1"/>
    <m/>
  </r>
  <r>
    <x v="14"/>
    <s v="Herramientas"/>
    <n v="15250"/>
    <s v="Compras"/>
    <s v="Gasto"/>
    <m/>
    <n v="4"/>
    <n v="2"/>
    <s v="Gastos del mes pagar Papi"/>
    <n v="1"/>
    <x v="0"/>
    <n v="1"/>
    <m/>
  </r>
  <r>
    <x v="14"/>
    <s v="Open English"/>
    <n v="150000"/>
    <s v="Varios"/>
    <s v="Gasto"/>
    <m/>
    <n v="2"/>
    <n v="1"/>
    <s v="Gastos del mes debitables"/>
    <n v="2"/>
    <x v="0"/>
    <n v="1"/>
    <m/>
  </r>
  <r>
    <x v="14"/>
    <s v="River ❤️"/>
    <n v="68000"/>
    <s v="Varios"/>
    <s v="Gasto"/>
    <m/>
    <m/>
    <m/>
    <s v="Gastos variables del mes a pagar"/>
    <n v="3"/>
    <x v="0"/>
    <n v="1"/>
    <m/>
  </r>
  <r>
    <x v="15"/>
    <s v="Expensas"/>
    <n v="78000"/>
    <s v="Depto"/>
    <s v="Gasto"/>
    <m/>
    <m/>
    <m/>
    <s v="Gastos del mes pagar Papi"/>
    <n v="1"/>
    <x v="0"/>
    <n v="1"/>
    <m/>
  </r>
  <r>
    <x v="15"/>
    <s v="Gym        "/>
    <n v="25000"/>
    <s v="Salud"/>
    <s v="Gasto"/>
    <m/>
    <m/>
    <m/>
    <s v="Gastos del mes pagar Papi"/>
    <n v="1"/>
    <x v="0"/>
    <n v="1"/>
    <m/>
  </r>
  <r>
    <x v="15"/>
    <s v="CuotaJuan"/>
    <n v="148416"/>
    <s v="Juan"/>
    <s v="Gasto"/>
    <m/>
    <m/>
    <m/>
    <s v="Gastos del mes pagar Papi"/>
    <n v="1"/>
    <x v="0"/>
    <n v="1"/>
    <m/>
  </r>
  <r>
    <x v="15"/>
    <s v="Internet"/>
    <n v="10000"/>
    <s v="Servicios"/>
    <s v="Gasto"/>
    <m/>
    <m/>
    <m/>
    <s v="Gastos del mes pagar Papi"/>
    <n v="1"/>
    <x v="0"/>
    <n v="1"/>
    <m/>
  </r>
  <r>
    <x v="15"/>
    <s v="Luz"/>
    <n v="38890"/>
    <s v="Servicios"/>
    <s v="Gasto"/>
    <m/>
    <m/>
    <m/>
    <s v="Gastos del mes pagar Papi"/>
    <n v="1"/>
    <x v="0"/>
    <n v="1"/>
    <m/>
  </r>
  <r>
    <x v="15"/>
    <s v="Auris(6/6)"/>
    <n v="16552"/>
    <s v="Creditos"/>
    <s v="Gasto"/>
    <m/>
    <n v="6"/>
    <n v="6"/>
    <s v="Gastos del mes debitables"/>
    <n v="2"/>
    <x v="0"/>
    <n v="1"/>
    <m/>
  </r>
  <r>
    <x v="15"/>
    <s v="Xbox"/>
    <n v="9122"/>
    <s v="Subscripción"/>
    <s v="Gasto"/>
    <m/>
    <m/>
    <m/>
    <s v="Gastos del mes debitables"/>
    <n v="2"/>
    <x v="0"/>
    <n v="1"/>
    <m/>
  </r>
  <r>
    <x v="15"/>
    <s v="Spotify"/>
    <n v="2000"/>
    <s v="Subscripción"/>
    <s v="Gasto"/>
    <m/>
    <m/>
    <m/>
    <s v="Gastos del mes debitables"/>
    <n v="2"/>
    <x v="0"/>
    <n v="1"/>
    <m/>
  </r>
  <r>
    <x v="15"/>
    <s v="Google"/>
    <n v="3391"/>
    <s v="Subscripción"/>
    <s v="Gasto"/>
    <m/>
    <m/>
    <m/>
    <s v="Gastos del mes debitables"/>
    <n v="2"/>
    <x v="0"/>
    <n v="1"/>
    <m/>
  </r>
  <r>
    <x v="15"/>
    <s v="Comida"/>
    <n v="52500"/>
    <s v="Comida"/>
    <s v="Gasto"/>
    <m/>
    <m/>
    <m/>
    <s v="Gastos del mes debitables"/>
    <n v="2"/>
    <x v="0"/>
    <n v="1"/>
    <m/>
  </r>
  <r>
    <x v="15"/>
    <s v=" Kine"/>
    <n v="36000"/>
    <s v="Salud"/>
    <s v="Gasto"/>
    <m/>
    <m/>
    <m/>
    <s v="Gastos del mes debitables"/>
    <n v="2"/>
    <x v="0"/>
    <n v="1"/>
    <m/>
  </r>
  <r>
    <x v="15"/>
    <s v="Trabajo"/>
    <n v="1151500"/>
    <s v="Ingreso"/>
    <s v="Ingreso"/>
    <m/>
    <m/>
    <m/>
    <s v="Cobro Mensual"/>
    <n v="4"/>
    <x v="1"/>
    <n v="4"/>
    <m/>
  </r>
  <r>
    <x v="15"/>
    <s v="Beca"/>
    <n v="81685"/>
    <s v="Ingreso"/>
    <s v="Ingreso"/>
    <m/>
    <m/>
    <m/>
    <s v="Cobro Mensual"/>
    <n v="4"/>
    <x v="1"/>
    <n v="4"/>
    <m/>
  </r>
  <r>
    <x v="15"/>
    <s v="Bicicross"/>
    <n v="23000"/>
    <s v="Juan"/>
    <s v="Gasto"/>
    <m/>
    <m/>
    <m/>
    <s v="Gastos del mes debitables"/>
    <n v="2"/>
    <x v="0"/>
    <n v="1"/>
    <m/>
  </r>
  <r>
    <x v="15"/>
    <s v="Youtube"/>
    <n v="1904"/>
    <s v="Subscripción"/>
    <s v="Gasto"/>
    <m/>
    <m/>
    <m/>
    <s v="Gastos del mes debitables"/>
    <n v="2"/>
    <x v="0"/>
    <n v="1"/>
    <m/>
  </r>
  <r>
    <x v="15"/>
    <s v="Monotributo"/>
    <n v="62000"/>
    <s v="Monotributo"/>
    <s v="Gasto"/>
    <m/>
    <m/>
    <m/>
    <s v="Gastos del mes debitables"/>
    <n v="2"/>
    <x v="0"/>
    <n v="1"/>
    <m/>
  </r>
  <r>
    <x v="15"/>
    <s v="Microfono"/>
    <n v="12553"/>
    <s v="Creditos"/>
    <s v="Gasto"/>
    <m/>
    <n v="3"/>
    <n v="1"/>
    <s v="Gastos del mes debitables"/>
    <n v="2"/>
    <x v="0"/>
    <n v="1"/>
    <m/>
  </r>
  <r>
    <x v="15"/>
    <s v="Micro"/>
    <n v="46584"/>
    <s v="Creditos"/>
    <s v="Gasto"/>
    <m/>
    <n v="6"/>
    <n v="3"/>
    <s v="Gastos del mes debitables"/>
    <n v="2"/>
    <x v="0"/>
    <n v="1"/>
    <m/>
  </r>
  <r>
    <x v="15"/>
    <s v="SSD NVMe"/>
    <n v="10637"/>
    <s v="PC"/>
    <s v="Gasto"/>
    <m/>
    <n v="6"/>
    <n v="3"/>
    <s v="Gastos del mes pagar Papi"/>
    <n v="1"/>
    <x v="0"/>
    <n v="1"/>
    <m/>
  </r>
  <r>
    <x v="15"/>
    <s v="Herramientas"/>
    <n v="15250"/>
    <s v="Compras"/>
    <s v="Gasto"/>
    <m/>
    <n v="4"/>
    <n v="3"/>
    <s v="Gastos del mes pagar Papi"/>
    <n v="1"/>
    <x v="0"/>
    <n v="1"/>
    <m/>
  </r>
  <r>
    <x v="15"/>
    <s v="TV"/>
    <n v="43000"/>
    <s v="Compras"/>
    <s v="Gasto"/>
    <m/>
    <n v="12"/>
    <n v="1"/>
    <s v="Gastos del mes debitables"/>
    <n v="2"/>
    <x v="0"/>
    <n v="1"/>
    <m/>
  </r>
  <r>
    <x v="15"/>
    <s v="Yerba"/>
    <n v="16500"/>
    <s v="Compras"/>
    <s v="Gasto"/>
    <m/>
    <m/>
    <m/>
    <s v="Gastos variables del mes a pagar"/>
    <n v="3"/>
    <x v="0"/>
    <n v="1"/>
    <m/>
  </r>
  <r>
    <x v="15"/>
    <s v="Asado"/>
    <n v="25000"/>
    <s v="Compras"/>
    <s v="Gasto"/>
    <m/>
    <m/>
    <m/>
    <s v="Gastos variables del mes a pagar"/>
    <n v="3"/>
    <x v="0"/>
    <n v="1"/>
    <m/>
  </r>
  <r>
    <x v="15"/>
    <s v="Mueble"/>
    <n v="23000"/>
    <s v="Copmras"/>
    <s v="Gasto"/>
    <m/>
    <m/>
    <m/>
    <s v="Gastos variables del mes a pagar"/>
    <n v="3"/>
    <x v="0"/>
    <n v="1"/>
    <m/>
  </r>
  <r>
    <x v="15"/>
    <s v="Emac"/>
    <n v="8500"/>
    <s v="Juan"/>
    <s v="Gasto"/>
    <m/>
    <m/>
    <m/>
    <s v="Gastos del mes pagar Papi"/>
    <n v="1"/>
    <x v="0"/>
    <n v="1"/>
    <m/>
  </r>
  <r>
    <x v="15"/>
    <s v="Seguro bmx"/>
    <n v="20000"/>
    <s v="Juan"/>
    <s v="Gasto"/>
    <m/>
    <m/>
    <m/>
    <s v="Gastos del mes pagar Papi"/>
    <n v="1"/>
    <x v="0"/>
    <n v="1"/>
    <m/>
  </r>
  <r>
    <x v="15"/>
    <s v="Carrera"/>
    <n v="10000"/>
    <s v="Juan"/>
    <s v="Gasto"/>
    <m/>
    <m/>
    <m/>
    <s v="Gastos del mes pagar Papi"/>
    <n v="1"/>
    <x v="0"/>
    <n v="1"/>
    <m/>
  </r>
  <r>
    <x v="16"/>
    <s v="Expensas"/>
    <n v="79000"/>
    <s v="Depto"/>
    <s v="Gasto"/>
    <m/>
    <m/>
    <m/>
    <s v="Gastos del mes pagar Papi"/>
    <n v="1"/>
    <x v="2"/>
    <n v="3"/>
    <m/>
  </r>
  <r>
    <x v="16"/>
    <s v="Gym        "/>
    <n v="25000"/>
    <s v="Salud"/>
    <s v="Gasto"/>
    <m/>
    <m/>
    <m/>
    <s v="Gastos del mes pagar Papi"/>
    <n v="1"/>
    <x v="2"/>
    <n v="3"/>
    <m/>
  </r>
  <r>
    <x v="16"/>
    <s v="CuotaJuan"/>
    <n v="148416"/>
    <s v="Juan"/>
    <s v="Gasto"/>
    <m/>
    <m/>
    <m/>
    <s v="Gastos del mes pagar Papi"/>
    <n v="1"/>
    <x v="2"/>
    <n v="3"/>
    <m/>
  </r>
  <r>
    <x v="16"/>
    <s v="Internet"/>
    <n v="10000"/>
    <s v="Servicios"/>
    <s v="Gasto"/>
    <m/>
    <m/>
    <m/>
    <s v="Gastos del mes pagar Papi"/>
    <n v="1"/>
    <x v="2"/>
    <n v="3"/>
    <m/>
  </r>
  <r>
    <x v="16"/>
    <s v="Luz"/>
    <n v="15259"/>
    <s v="Servicios"/>
    <s v="Gasto"/>
    <m/>
    <m/>
    <m/>
    <s v="Gastos del mes pagar Papi"/>
    <n v="1"/>
    <x v="2"/>
    <n v="3"/>
    <m/>
  </r>
  <r>
    <x v="16"/>
    <s v="Xbox"/>
    <n v="9122"/>
    <s v="Subscripción"/>
    <s v="Gasto"/>
    <m/>
    <m/>
    <m/>
    <s v="Gastos del mes debitables"/>
    <n v="2"/>
    <x v="2"/>
    <n v="3"/>
    <m/>
  </r>
  <r>
    <x v="16"/>
    <s v="Spotify"/>
    <n v="2000"/>
    <s v="Subscripción"/>
    <s v="Gasto"/>
    <m/>
    <m/>
    <m/>
    <s v="Gastos del mes debitables"/>
    <n v="2"/>
    <x v="2"/>
    <n v="3"/>
    <m/>
  </r>
  <r>
    <x v="16"/>
    <s v="Google"/>
    <n v="3391"/>
    <s v="Subscripción"/>
    <s v="Gasto"/>
    <m/>
    <m/>
    <m/>
    <s v="Gastos del mes debitables"/>
    <n v="2"/>
    <x v="2"/>
    <n v="3"/>
    <m/>
  </r>
  <r>
    <x v="16"/>
    <s v="Super"/>
    <n v="52500"/>
    <s v="Comida"/>
    <s v="Gasto"/>
    <m/>
    <m/>
    <m/>
    <s v="Gastos del mes debitables"/>
    <n v="2"/>
    <x v="0"/>
    <n v="1"/>
    <m/>
  </r>
  <r>
    <x v="16"/>
    <s v="Kine"/>
    <n v="18000"/>
    <s v="Salud"/>
    <s v="Gasto"/>
    <m/>
    <m/>
    <m/>
    <s v="Gastos del mes debitables"/>
    <n v="2"/>
    <x v="0"/>
    <n v="1"/>
    <m/>
  </r>
  <r>
    <x v="16"/>
    <s v="Trabajo"/>
    <n v="1134750"/>
    <s v="Ingreso"/>
    <s v="Ingreso"/>
    <m/>
    <m/>
    <m/>
    <s v="Cobro Mensual"/>
    <n v="4"/>
    <x v="1"/>
    <n v="4"/>
    <m/>
  </r>
  <r>
    <x v="16"/>
    <s v="Beca"/>
    <n v="0"/>
    <s v="Ingreso"/>
    <s v="Ingreso"/>
    <m/>
    <m/>
    <m/>
    <s v="Cobro Mensual"/>
    <n v="4"/>
    <x v="1"/>
    <n v="4"/>
    <m/>
  </r>
  <r>
    <x v="16"/>
    <s v="Bicicross"/>
    <n v="23000"/>
    <s v="Juan"/>
    <s v="Gasto"/>
    <m/>
    <m/>
    <m/>
    <s v="Gastos del mes debitables"/>
    <n v="2"/>
    <x v="0"/>
    <n v="1"/>
    <m/>
  </r>
  <r>
    <x v="16"/>
    <s v="Youtube"/>
    <n v="1904"/>
    <s v="Subscripción"/>
    <s v="Gasto"/>
    <m/>
    <m/>
    <m/>
    <s v="Gastos del mes debitables"/>
    <n v="2"/>
    <x v="2"/>
    <n v="3"/>
    <m/>
  </r>
  <r>
    <x v="16"/>
    <s v="Monotributo"/>
    <n v="62000"/>
    <s v="Monotributo"/>
    <s v="Gasto"/>
    <m/>
    <m/>
    <m/>
    <s v="Gastos del mes debitables"/>
    <n v="2"/>
    <x v="2"/>
    <n v="3"/>
    <m/>
  </r>
  <r>
    <x v="16"/>
    <s v="Microfono"/>
    <n v="12553"/>
    <s v="Creditos"/>
    <s v="Gasto"/>
    <m/>
    <n v="3"/>
    <n v="1"/>
    <s v="Gastos del mes debitables"/>
    <n v="2"/>
    <x v="2"/>
    <n v="3"/>
    <m/>
  </r>
  <r>
    <x v="16"/>
    <s v="Micro"/>
    <n v="46584"/>
    <s v="Creditos"/>
    <s v="Gasto"/>
    <m/>
    <n v="6"/>
    <n v="4"/>
    <s v="Gastos del mes debitables"/>
    <n v="2"/>
    <x v="2"/>
    <n v="3"/>
    <m/>
  </r>
  <r>
    <x v="16"/>
    <s v="SSD NVMe"/>
    <n v="10637"/>
    <s v="PC"/>
    <s v="Gasto"/>
    <m/>
    <n v="6"/>
    <n v="4"/>
    <s v="Gastos del mes pagar Papi"/>
    <n v="1"/>
    <x v="2"/>
    <n v="3"/>
    <m/>
  </r>
  <r>
    <x v="16"/>
    <s v="Herramientas"/>
    <n v="15250"/>
    <s v="Compras"/>
    <s v="Gasto"/>
    <m/>
    <n v="4"/>
    <n v="4"/>
    <s v="Gastos del mes pagar Papi"/>
    <n v="1"/>
    <x v="2"/>
    <n v="3"/>
    <m/>
  </r>
  <r>
    <x v="16"/>
    <s v="TV"/>
    <n v="43000"/>
    <s v="Creditos"/>
    <s v="Gasto"/>
    <m/>
    <n v="12"/>
    <n v="2"/>
    <s v="Gastos del mes debitables"/>
    <n v="2"/>
    <x v="0"/>
    <n v="1"/>
    <m/>
  </r>
  <r>
    <x v="16"/>
    <s v="Carrera"/>
    <n v="40000"/>
    <s v="Juan"/>
    <s v="Gasto"/>
    <m/>
    <m/>
    <m/>
    <s v="Gastos del mes pagar Papi"/>
    <n v="1"/>
    <x v="0"/>
    <n v="1"/>
    <m/>
  </r>
  <r>
    <x v="16"/>
    <s v="Viaje Estudio"/>
    <n v="50000"/>
    <s v="Juan"/>
    <s v="Gasto"/>
    <m/>
    <n v="12"/>
    <n v="1"/>
    <s v="Gastos del mes debitables"/>
    <n v="2"/>
    <x v="0"/>
    <n v="1"/>
    <m/>
  </r>
  <r>
    <x v="17"/>
    <s v="Expensas"/>
    <n v="79500"/>
    <s v="Depto"/>
    <s v="Gasto"/>
    <s v="Pago Unico"/>
    <m/>
    <m/>
    <s v="Gastos del mes pagar Papi"/>
    <n v="1"/>
    <x v="0"/>
    <n v="1"/>
    <m/>
  </r>
  <r>
    <x v="17"/>
    <s v="Alquiler"/>
    <n v="146000"/>
    <s v="Depto"/>
    <s v="Gasto"/>
    <s v="Pago Unico"/>
    <m/>
    <m/>
    <s v="Gastos del mes pagar Papi"/>
    <n v="1"/>
    <x v="0"/>
    <n v="1"/>
    <m/>
  </r>
  <r>
    <x v="17"/>
    <s v="Gym        "/>
    <n v="25000"/>
    <s v="Salud"/>
    <s v="Gasto"/>
    <s v="Pago Unico"/>
    <m/>
    <m/>
    <s v="Gastos del mes pagar Papi"/>
    <n v="1"/>
    <x v="0"/>
    <n v="1"/>
    <m/>
  </r>
  <r>
    <x v="17"/>
    <s v="CuotaJuan"/>
    <n v="148416"/>
    <s v="Juan"/>
    <s v="Gasto"/>
    <s v="Pago Unico"/>
    <m/>
    <m/>
    <s v="Gastos del mes pagar Papi"/>
    <n v="1"/>
    <x v="0"/>
    <n v="1"/>
    <m/>
  </r>
  <r>
    <x v="17"/>
    <s v="Internet"/>
    <n v="10000"/>
    <s v="Servicios"/>
    <s v="Gasto"/>
    <s v="Pago Unico"/>
    <m/>
    <m/>
    <s v="Gastos del mes pagar Papi"/>
    <n v="1"/>
    <x v="0"/>
    <n v="1"/>
    <m/>
  </r>
  <r>
    <x v="17"/>
    <s v="Luz"/>
    <n v="15259"/>
    <s v="Servicios"/>
    <s v="Gasto"/>
    <s v="Pago Unico"/>
    <m/>
    <m/>
    <s v="Gastos del mes pagar Papi"/>
    <n v="1"/>
    <x v="0"/>
    <n v="1"/>
    <m/>
  </r>
  <r>
    <x v="17"/>
    <s v="Xbox"/>
    <n v="9122"/>
    <s v="Subscripción"/>
    <s v="Gasto"/>
    <s v="Pago Unico"/>
    <m/>
    <m/>
    <s v="Gastos del mes debitables"/>
    <n v="2"/>
    <x v="0"/>
    <n v="1"/>
    <m/>
  </r>
  <r>
    <x v="17"/>
    <s v="Spotify"/>
    <n v="2000"/>
    <s v="Subscripción"/>
    <s v="Gasto"/>
    <s v="Pago Unico"/>
    <m/>
    <m/>
    <s v="Gastos del mes debitables"/>
    <n v="2"/>
    <x v="0"/>
    <n v="1"/>
    <m/>
  </r>
  <r>
    <x v="17"/>
    <s v="Google"/>
    <n v="3391"/>
    <s v="Subscripción"/>
    <s v="Gasto"/>
    <s v="Pago Unico"/>
    <m/>
    <m/>
    <s v="Gastos del mes debitables"/>
    <n v="2"/>
    <x v="0"/>
    <n v="1"/>
    <m/>
  </r>
  <r>
    <x v="17"/>
    <s v="Comida Mes"/>
    <n v="240000"/>
    <s v="Comida"/>
    <s v="Gasto"/>
    <s v="Pago Unico"/>
    <m/>
    <m/>
    <s v="Gastos del mes debitables"/>
    <n v="2"/>
    <x v="0"/>
    <n v="1"/>
    <m/>
  </r>
  <r>
    <x v="17"/>
    <s v="Super"/>
    <n v="150000"/>
    <s v="Comida"/>
    <s v="Gasto"/>
    <s v="Pago Unico"/>
    <m/>
    <m/>
    <s v="Gastos del mes debitables"/>
    <n v="2"/>
    <x v="0"/>
    <n v="1"/>
    <m/>
  </r>
  <r>
    <x v="17"/>
    <s v="Kine"/>
    <n v="18000"/>
    <s v="Salud"/>
    <s v="Gasto"/>
    <s v="Pago Unico"/>
    <m/>
    <m/>
    <s v="Gastos del mes debitables"/>
    <n v="2"/>
    <x v="0"/>
    <n v="1"/>
    <m/>
  </r>
  <r>
    <x v="17"/>
    <s v="Trabajo"/>
    <n v="2079000"/>
    <s v="Ingreso"/>
    <s v="Ingreso"/>
    <s v="Cobro"/>
    <m/>
    <m/>
    <s v="Cobro Mensual"/>
    <n v="4"/>
    <x v="1"/>
    <n v="4"/>
    <m/>
  </r>
  <r>
    <x v="17"/>
    <s v="Retractivo"/>
    <n v="820000"/>
    <s v="Ingreso"/>
    <s v="Ingreso"/>
    <s v="Cobro"/>
    <m/>
    <m/>
    <s v="Cobro Mensual"/>
    <n v="4"/>
    <x v="1"/>
    <n v="4"/>
    <m/>
  </r>
  <r>
    <x v="17"/>
    <s v="Bicicross"/>
    <n v="23000"/>
    <s v="Juan"/>
    <s v="Gasto"/>
    <s v="Pago Unico"/>
    <m/>
    <m/>
    <s v="Gastos del mes debitables"/>
    <n v="2"/>
    <x v="0"/>
    <n v="1"/>
    <m/>
  </r>
  <r>
    <x v="17"/>
    <s v="Youtube"/>
    <n v="1904"/>
    <s v="Subscripción"/>
    <s v="Gasto"/>
    <s v="Pago Unico"/>
    <m/>
    <m/>
    <s v="Gastos del mes debitables"/>
    <n v="2"/>
    <x v="0"/>
    <n v="1"/>
    <m/>
  </r>
  <r>
    <x v="17"/>
    <s v="Monotributo"/>
    <n v="62000"/>
    <s v="Monotributo"/>
    <s v="Gasto"/>
    <s v="Pago Unico"/>
    <m/>
    <m/>
    <s v="Gastos del mes debitables"/>
    <n v="2"/>
    <x v="0"/>
    <n v="1"/>
    <m/>
  </r>
  <r>
    <x v="17"/>
    <s v="Microfono"/>
    <n v="12553"/>
    <s v="Creditos"/>
    <s v="Gasto"/>
    <s v="En Cuotas"/>
    <n v="3"/>
    <n v="2"/>
    <s v="Gastos del mes debitables"/>
    <n v="2"/>
    <x v="0"/>
    <n v="1"/>
    <m/>
  </r>
  <r>
    <x v="17"/>
    <s v="Micro"/>
    <n v="46584"/>
    <s v="Creditos"/>
    <s v="Gasto"/>
    <s v="En Cuotas"/>
    <n v="6"/>
    <n v="5"/>
    <s v="Gastos del mes debitables"/>
    <n v="2"/>
    <x v="0"/>
    <n v="1"/>
    <m/>
  </r>
  <r>
    <x v="17"/>
    <s v="SSD NVMe"/>
    <n v="10637"/>
    <s v="PC"/>
    <s v="Gasto"/>
    <s v="En Cuotas"/>
    <n v="6"/>
    <n v="5"/>
    <s v="Gastos del mes pagar Papi"/>
    <n v="1"/>
    <x v="0"/>
    <n v="1"/>
    <m/>
  </r>
  <r>
    <x v="17"/>
    <s v="TV"/>
    <n v="43000"/>
    <s v="Creditos"/>
    <s v="Gasto"/>
    <s v="En Cuotas"/>
    <n v="12"/>
    <n v="3"/>
    <s v="Gastos del mes debitables"/>
    <n v="2"/>
    <x v="0"/>
    <n v="1"/>
    <m/>
  </r>
  <r>
    <x v="17"/>
    <s v="Adelanto"/>
    <n v="39785"/>
    <s v="Creditos"/>
    <s v="Gasto"/>
    <s v="En Cuotas"/>
    <n v="3"/>
    <n v="1"/>
    <s v="Gastos del mes debitables"/>
    <n v="2"/>
    <x v="0"/>
    <n v="1"/>
    <m/>
  </r>
  <r>
    <x v="17"/>
    <s v="Carrera"/>
    <n v="20000"/>
    <s v="Juan"/>
    <s v="Gasto"/>
    <s v="Pago Unico"/>
    <m/>
    <m/>
    <s v="Gastos del mes pagar Papi"/>
    <n v="1"/>
    <x v="0"/>
    <n v="1"/>
    <m/>
  </r>
  <r>
    <x v="17"/>
    <s v="Viaje Estudio"/>
    <n v="50000"/>
    <s v="Juan"/>
    <s v="Gasto"/>
    <s v="En Cuotas"/>
    <n v="12"/>
    <n v="2"/>
    <s v="Gastos del mes debitables"/>
    <n v="2"/>
    <x v="0"/>
    <n v="1"/>
    <m/>
  </r>
  <r>
    <x v="17"/>
    <s v="Relojes"/>
    <n v="22498"/>
    <s v="Creditos"/>
    <s v="Gasto"/>
    <s v="En Cuotas"/>
    <n v="9"/>
    <n v="1"/>
    <s v="Gastos del mes debitables"/>
    <n v="2"/>
    <x v="0"/>
    <n v="1"/>
    <m/>
  </r>
  <r>
    <x v="17"/>
    <s v="Digweed"/>
    <n v="40480"/>
    <s v="Creditos"/>
    <s v="Gasto"/>
    <s v="Pago Unico"/>
    <m/>
    <m/>
    <s v="Gastos del mes debitables"/>
    <n v="2"/>
    <x v="0"/>
    <n v="1"/>
    <m/>
  </r>
  <r>
    <x v="17"/>
    <s v="Obra Social"/>
    <n v="0"/>
    <s v="Salud"/>
    <s v="Gasto"/>
    <s v="Pago Unico"/>
    <m/>
    <m/>
    <s v="Gastos del mes debitables"/>
    <n v="2"/>
    <x v="0"/>
    <n v="1"/>
    <m/>
  </r>
  <r>
    <x v="17"/>
    <s v="Ike asistencia"/>
    <n v="14200"/>
    <s v="Creditos"/>
    <s v="Gasto"/>
    <s v="Pago Unico"/>
    <m/>
    <m/>
    <s v="Gastos del mes debitables"/>
    <n v="2"/>
    <x v="0"/>
    <n v="1"/>
    <m/>
  </r>
  <r>
    <x v="17"/>
    <s v="Max"/>
    <n v="10800"/>
    <s v="Subscripción"/>
    <s v="Gasto"/>
    <s v="Pago Unico"/>
    <m/>
    <m/>
    <s v="Gastos del mes debitables"/>
    <n v="2"/>
    <x v="0"/>
    <n v="1"/>
    <m/>
  </r>
  <r>
    <x v="18"/>
    <s v="Comida Mes"/>
    <n v="240000"/>
    <s v="Comida"/>
    <s v="Gasto"/>
    <s v="Pago Unico"/>
    <m/>
    <m/>
    <s v="Gastos del mes debitables"/>
    <n v="2"/>
    <x v="0"/>
    <n v="1"/>
    <m/>
  </r>
  <r>
    <x v="18"/>
    <s v="Super"/>
    <n v="150000"/>
    <s v="Comida"/>
    <s v="Gasto"/>
    <s v="Pago Unico"/>
    <m/>
    <m/>
    <s v="Gastos del mes debitables"/>
    <n v="2"/>
    <x v="0"/>
    <n v="1"/>
    <m/>
  </r>
  <r>
    <x v="18"/>
    <s v="Microfono"/>
    <n v="12553"/>
    <s v="Creditos"/>
    <s v="Gasto"/>
    <s v="En Cuotas"/>
    <n v="3"/>
    <n v="3"/>
    <s v="Gastos del mes debitables"/>
    <n v="2"/>
    <x v="0"/>
    <n v="1"/>
    <m/>
  </r>
  <r>
    <x v="18"/>
    <s v="Micro"/>
    <n v="46584"/>
    <s v="Creditos"/>
    <s v="Gasto"/>
    <s v="En Cuotas"/>
    <n v="6"/>
    <n v="6"/>
    <s v="Gastos del mes debitables"/>
    <n v="2"/>
    <x v="0"/>
    <n v="1"/>
    <m/>
  </r>
  <r>
    <x v="18"/>
    <s v="TV"/>
    <n v="43000"/>
    <s v="Creditos"/>
    <s v="Gasto"/>
    <s v="En Cuotas"/>
    <n v="12"/>
    <n v="4"/>
    <s v="Gastos del mes debitables"/>
    <n v="2"/>
    <x v="0"/>
    <n v="1"/>
    <m/>
  </r>
  <r>
    <x v="18"/>
    <s v="Adelanto"/>
    <n v="39785"/>
    <s v="Creditos"/>
    <s v="Gasto"/>
    <s v="En Cuotas"/>
    <n v="3"/>
    <n v="2"/>
    <s v="Gastos del mes debitables"/>
    <n v="2"/>
    <x v="0"/>
    <n v="1"/>
    <m/>
  </r>
  <r>
    <x v="18"/>
    <s v="Relojes"/>
    <n v="22498"/>
    <s v="Creditos"/>
    <s v="Gasto"/>
    <s v="En Cuotas"/>
    <n v="9"/>
    <n v="2"/>
    <s v="Gastos del mes debitables"/>
    <n v="2"/>
    <x v="0"/>
    <n v="1"/>
    <m/>
  </r>
  <r>
    <x v="18"/>
    <s v="Ike asistencia"/>
    <n v="14200"/>
    <s v="Creditos"/>
    <s v="Gasto"/>
    <s v="Pago Unico"/>
    <m/>
    <m/>
    <s v="Gastos del mes debitables"/>
    <n v="2"/>
    <x v="0"/>
    <n v="1"/>
    <m/>
  </r>
  <r>
    <x v="18"/>
    <s v="Expensas"/>
    <n v="95170"/>
    <s v="Depto"/>
    <s v="Gasto"/>
    <s v="Pago Unico"/>
    <m/>
    <m/>
    <s v="Gastos del mes pagar Papi"/>
    <n v="1"/>
    <x v="0"/>
    <n v="1"/>
    <m/>
  </r>
  <r>
    <x v="18"/>
    <s v="Alquiler"/>
    <n v="146000"/>
    <s v="Depto"/>
    <s v="Gasto"/>
    <s v="Pago Unico"/>
    <m/>
    <m/>
    <s v="Gastos del mes pagar Papi"/>
    <n v="1"/>
    <x v="0"/>
    <n v="1"/>
    <m/>
  </r>
  <r>
    <x v="18"/>
    <s v="Trabajo"/>
    <n v="2292185"/>
    <s v="Ingreso"/>
    <s v="Ingreso"/>
    <s v="Cobro"/>
    <m/>
    <m/>
    <s v="Cobro Mensual"/>
    <n v="4"/>
    <x v="1"/>
    <n v="4"/>
    <m/>
  </r>
  <r>
    <x v="18"/>
    <s v="Beca"/>
    <n v="245055"/>
    <s v="Ingreso"/>
    <s v="Ingreso"/>
    <s v="Cobro"/>
    <m/>
    <m/>
    <s v="Cobro Mensual"/>
    <n v="4"/>
    <x v="1"/>
    <n v="4"/>
    <m/>
  </r>
  <r>
    <x v="18"/>
    <s v="CuotaJuan"/>
    <n v="233750"/>
    <s v="Juan"/>
    <s v="Gasto"/>
    <s v="Pago Unico"/>
    <m/>
    <m/>
    <s v="Gastos del mes pagar Papi"/>
    <n v="1"/>
    <x v="0"/>
    <n v="1"/>
    <m/>
  </r>
  <r>
    <x v="18"/>
    <s v="Bicicross"/>
    <n v="23000"/>
    <s v="Juan"/>
    <s v="Gasto"/>
    <s v="Pago Unico"/>
    <m/>
    <m/>
    <s v="Gastos del mes debitables"/>
    <n v="2"/>
    <x v="0"/>
    <n v="1"/>
    <m/>
  </r>
  <r>
    <x v="18"/>
    <s v="Carrera"/>
    <n v="20000"/>
    <s v="Juan"/>
    <s v="Gasto"/>
    <s v="Pago Unico"/>
    <m/>
    <m/>
    <s v="Gastos del mes pagar Papi"/>
    <n v="1"/>
    <x v="0"/>
    <n v="1"/>
    <m/>
  </r>
  <r>
    <x v="18"/>
    <s v="Viaje Estudio"/>
    <n v="70000"/>
    <s v="Juan"/>
    <s v="Gasto"/>
    <s v="En Cuotas"/>
    <n v="12"/>
    <n v="3"/>
    <s v="Gastos del mes debitables"/>
    <n v="2"/>
    <x v="0"/>
    <n v="1"/>
    <m/>
  </r>
  <r>
    <x v="18"/>
    <s v="Campera Ovni"/>
    <n v="32500"/>
    <s v="Juan"/>
    <s v="Gasto"/>
    <s v="Pago Unico"/>
    <m/>
    <m/>
    <s v="Gastos variables del mes a pagar"/>
    <n v="3"/>
    <x v="0"/>
    <n v="1"/>
    <m/>
  </r>
  <r>
    <x v="18"/>
    <s v="Campera Cole"/>
    <n v="25000"/>
    <s v="Juan"/>
    <s v="Gasto"/>
    <s v="Pago Unico"/>
    <m/>
    <m/>
    <s v="Gastos variables del mes a pagar"/>
    <n v="3"/>
    <x v="0"/>
    <n v="1"/>
    <m/>
  </r>
  <r>
    <x v="18"/>
    <s v="Monotributo"/>
    <n v="78734.77"/>
    <s v="Monotributo"/>
    <s v="Gasto"/>
    <s v="Pago Unico"/>
    <m/>
    <m/>
    <s v="Gastos del mes debitables"/>
    <n v="2"/>
    <x v="0"/>
    <n v="1"/>
    <m/>
  </r>
  <r>
    <x v="18"/>
    <s v="Gym        "/>
    <n v="25000"/>
    <s v="Salud"/>
    <s v="Gasto"/>
    <s v="Pago Unico"/>
    <m/>
    <m/>
    <s v="Gastos del mes pagar Papi"/>
    <n v="1"/>
    <x v="0"/>
    <n v="1"/>
    <m/>
  </r>
  <r>
    <x v="18"/>
    <s v="Kine"/>
    <n v="39000"/>
    <s v="Salud"/>
    <s v="Gasto"/>
    <s v="Pago Unico"/>
    <m/>
    <m/>
    <s v="Gastos del mes debitables"/>
    <n v="2"/>
    <x v="0"/>
    <n v="1"/>
    <m/>
  </r>
  <r>
    <x v="18"/>
    <s v="Obra Social"/>
    <n v="81562"/>
    <s v="Salud"/>
    <s v="Gasto"/>
    <s v="Pago Unico"/>
    <m/>
    <m/>
    <s v="Gastos del mes debitables"/>
    <n v="2"/>
    <x v="0"/>
    <n v="1"/>
    <m/>
  </r>
  <r>
    <x v="18"/>
    <s v="Internet"/>
    <n v="10000"/>
    <s v="Servicios"/>
    <s v="Gasto"/>
    <s v="Pago Unico"/>
    <m/>
    <m/>
    <s v="Gastos del mes pagar Papi"/>
    <n v="1"/>
    <x v="0"/>
    <n v="1"/>
    <m/>
  </r>
  <r>
    <x v="18"/>
    <s v="Luz"/>
    <n v="15101"/>
    <s v="Servicios"/>
    <s v="Gasto"/>
    <s v="Pago Unico"/>
    <m/>
    <m/>
    <s v="Gastos del mes pagar Papi"/>
    <n v="1"/>
    <x v="0"/>
    <n v="1"/>
    <m/>
  </r>
  <r>
    <x v="18"/>
    <s v="Xbox"/>
    <n v="9122"/>
    <s v="Subscripción"/>
    <s v="Gasto"/>
    <s v="Pago Unico"/>
    <m/>
    <m/>
    <s v="Gastos del mes debitables"/>
    <n v="2"/>
    <x v="0"/>
    <n v="1"/>
    <m/>
  </r>
  <r>
    <x v="18"/>
    <s v="Spotify"/>
    <n v="2000"/>
    <s v="Subscripción"/>
    <s v="Gasto"/>
    <s v="Pago Unico"/>
    <m/>
    <m/>
    <s v="Gastos del mes debitables"/>
    <n v="2"/>
    <x v="0"/>
    <n v="1"/>
    <m/>
  </r>
  <r>
    <x v="18"/>
    <s v="Google"/>
    <n v="3391"/>
    <s v="Subscripción"/>
    <s v="Gasto"/>
    <s v="Pago Unico"/>
    <m/>
    <m/>
    <s v="Gastos del mes debitables"/>
    <n v="2"/>
    <x v="0"/>
    <n v="1"/>
    <m/>
  </r>
  <r>
    <x v="18"/>
    <s v="Youtube"/>
    <n v="1904"/>
    <s v="Subscripción"/>
    <s v="Gasto"/>
    <s v="Pago Unico"/>
    <m/>
    <m/>
    <s v="Gastos del mes debitables"/>
    <n v="2"/>
    <x v="0"/>
    <n v="1"/>
    <m/>
  </r>
  <r>
    <x v="18"/>
    <s v="Max"/>
    <n v="10800"/>
    <s v="Subscripción"/>
    <s v="Gasto"/>
    <s v="Pago Unico"/>
    <m/>
    <m/>
    <s v="Gastos del mes debitables"/>
    <n v="2"/>
    <x v="0"/>
    <n v="1"/>
    <m/>
  </r>
  <r>
    <x v="19"/>
    <s v="Comida Mes"/>
    <n v="240000"/>
    <s v="Comida"/>
    <s v="Gasto"/>
    <s v="Pago Unico"/>
    <m/>
    <m/>
    <s v="Gastos del mes debitables"/>
    <n v="2"/>
    <x v="0"/>
    <n v="1"/>
    <m/>
  </r>
  <r>
    <x v="19"/>
    <s v="Super"/>
    <n v="150000"/>
    <s v="Comida"/>
    <s v="Gasto"/>
    <s v="Pago Unico"/>
    <m/>
    <m/>
    <s v="Gastos del mes debitables"/>
    <n v="2"/>
    <x v="0"/>
    <n v="1"/>
    <m/>
  </r>
  <r>
    <x v="19"/>
    <s v="TV"/>
    <n v="43000"/>
    <s v="Creditos"/>
    <s v="Gasto"/>
    <s v="En Cuotas"/>
    <n v="12"/>
    <n v="5"/>
    <s v="Gastos del mes debitables"/>
    <n v="2"/>
    <x v="0"/>
    <n v="1"/>
    <m/>
  </r>
  <r>
    <x v="19"/>
    <s v="Relojes"/>
    <n v="22498"/>
    <s v="Creditos"/>
    <s v="Gasto"/>
    <s v="En Cuotas"/>
    <n v="9"/>
    <n v="4"/>
    <s v="Gastos del mes debitables"/>
    <n v="2"/>
    <x v="0"/>
    <n v="1"/>
    <m/>
  </r>
  <r>
    <x v="19"/>
    <s v="Ike asistencia"/>
    <n v="14200"/>
    <s v="Creditos"/>
    <s v="Gasto"/>
    <s v="Pago Unico"/>
    <m/>
    <m/>
    <s v="Gastos del mes debitables"/>
    <n v="2"/>
    <x v="0"/>
    <n v="1"/>
    <m/>
  </r>
  <r>
    <x v="19"/>
    <s v="Expensas"/>
    <n v="90000"/>
    <s v="Depto"/>
    <s v="Gasto"/>
    <s v="Pago Unico"/>
    <m/>
    <m/>
    <s v="Gastos del mes pagar Papi"/>
    <n v="1"/>
    <x v="0"/>
    <n v="1"/>
    <m/>
  </r>
  <r>
    <x v="19"/>
    <s v="Alquiler"/>
    <n v="155322"/>
    <s v="Depto"/>
    <s v="Gasto"/>
    <s v="Pago Unico"/>
    <m/>
    <m/>
    <s v="Gastos del mes pagar Papi"/>
    <n v="1"/>
    <x v="0"/>
    <n v="1"/>
    <m/>
  </r>
  <r>
    <x v="19"/>
    <s v="Trabajo"/>
    <n v="2303700"/>
    <s v="Ingreso"/>
    <s v="Ingreso"/>
    <s v="Cobro"/>
    <m/>
    <m/>
    <s v="Cobro Mensual"/>
    <n v="4"/>
    <x v="1"/>
    <n v="4"/>
    <m/>
  </r>
  <r>
    <x v="19"/>
    <s v="Beca"/>
    <n v="81645"/>
    <s v="Ingreso"/>
    <s v="Ingreso"/>
    <s v="Cobro"/>
    <m/>
    <m/>
    <s v="Cobro Mensual"/>
    <n v="4"/>
    <x v="1"/>
    <n v="4"/>
    <m/>
  </r>
  <r>
    <x v="19"/>
    <s v="CuotaJuan"/>
    <n v="158900"/>
    <s v="Juan"/>
    <s v="Gasto"/>
    <s v="Pago Unico"/>
    <m/>
    <m/>
    <s v="Gastos del mes pagar Papi"/>
    <n v="1"/>
    <x v="0"/>
    <n v="1"/>
    <m/>
  </r>
  <r>
    <x v="19"/>
    <s v="Bicicross"/>
    <n v="43000"/>
    <s v="Juan"/>
    <s v="Gasto"/>
    <s v="Pago Unico"/>
    <m/>
    <m/>
    <s v="Gastos del mes debitables"/>
    <n v="2"/>
    <x v="0"/>
    <n v="1"/>
    <m/>
  </r>
  <r>
    <x v="19"/>
    <s v="Carrera"/>
    <n v="0"/>
    <s v="Juan"/>
    <s v="Gasto"/>
    <s v="Pago Unico"/>
    <m/>
    <m/>
    <s v="Gastos del mes pagar Papi"/>
    <n v="1"/>
    <x v="0"/>
    <n v="1"/>
    <m/>
  </r>
  <r>
    <x v="19"/>
    <s v="Viaje Estudio"/>
    <n v="70000"/>
    <s v="Juan"/>
    <s v="Gasto"/>
    <s v="En Cuotas"/>
    <n v="12"/>
    <n v="4"/>
    <s v="Gastos del mes debitables"/>
    <n v="2"/>
    <x v="0"/>
    <n v="1"/>
    <m/>
  </r>
  <r>
    <x v="19"/>
    <s v="Monotributo"/>
    <n v="78734.77"/>
    <s v="Monotributo"/>
    <s v="Gasto"/>
    <s v="Pago Unico"/>
    <m/>
    <m/>
    <s v="Gastos del mes debitables"/>
    <n v="2"/>
    <x v="0"/>
    <n v="1"/>
    <m/>
  </r>
  <r>
    <x v="19"/>
    <s v="Gym        "/>
    <n v="30000"/>
    <s v="Salud"/>
    <s v="Gasto"/>
    <s v="Pago Unico"/>
    <m/>
    <m/>
    <s v="Gastos del mes pagar Papi"/>
    <n v="1"/>
    <x v="0"/>
    <n v="1"/>
    <m/>
  </r>
  <r>
    <x v="19"/>
    <s v="Kine"/>
    <n v="39000"/>
    <s v="Salud"/>
    <s v="Gasto"/>
    <s v="Pago Unico"/>
    <m/>
    <m/>
    <s v="Gastos del mes debitables"/>
    <n v="2"/>
    <x v="0"/>
    <n v="1"/>
    <m/>
  </r>
  <r>
    <x v="19"/>
    <s v="Obra Social"/>
    <n v="116926"/>
    <s v="Salud"/>
    <s v="Gasto"/>
    <s v="Pago Unico"/>
    <m/>
    <m/>
    <s v="Gastos del mes debitables"/>
    <n v="2"/>
    <x v="0"/>
    <n v="1"/>
    <m/>
  </r>
  <r>
    <x v="19"/>
    <s v="Internet"/>
    <n v="10000"/>
    <s v="Servicios"/>
    <s v="Gasto"/>
    <s v="Pago Unico"/>
    <m/>
    <m/>
    <s v="Gastos del mes pagar Papi"/>
    <n v="1"/>
    <x v="0"/>
    <n v="1"/>
    <m/>
  </r>
  <r>
    <x v="19"/>
    <s v="Luz"/>
    <n v="15500"/>
    <s v="Servicios"/>
    <s v="Gasto"/>
    <s v="Pago Unico"/>
    <m/>
    <m/>
    <s v="Gastos del mes pagar Papi"/>
    <n v="1"/>
    <x v="0"/>
    <n v="1"/>
    <m/>
  </r>
  <r>
    <x v="19"/>
    <s v="Xbox"/>
    <n v="9122"/>
    <s v="Subscripción"/>
    <s v="Gasto"/>
    <s v="Pago Unico"/>
    <m/>
    <m/>
    <s v="Gastos del mes debitables"/>
    <n v="2"/>
    <x v="0"/>
    <n v="1"/>
    <m/>
  </r>
  <r>
    <x v="19"/>
    <s v="Spotify"/>
    <n v="2000"/>
    <s v="Subscripción"/>
    <s v="Gasto"/>
    <s v="Pago Unico"/>
    <m/>
    <m/>
    <s v="Gastos del mes debitables"/>
    <n v="2"/>
    <x v="0"/>
    <n v="1"/>
    <m/>
  </r>
  <r>
    <x v="19"/>
    <s v="Google"/>
    <n v="3391"/>
    <s v="Subscripción"/>
    <s v="Gasto"/>
    <s v="Pago Unico"/>
    <m/>
    <m/>
    <s v="Gastos del mes debitables"/>
    <n v="2"/>
    <x v="0"/>
    <n v="1"/>
    <m/>
  </r>
  <r>
    <x v="19"/>
    <s v="Youtube"/>
    <n v="1904"/>
    <s v="Subscripción"/>
    <s v="Gasto"/>
    <s v="Pago Unico"/>
    <m/>
    <m/>
    <s v="Gastos del mes debitables"/>
    <n v="2"/>
    <x v="0"/>
    <n v="1"/>
    <m/>
  </r>
  <r>
    <x v="19"/>
    <s v="Max"/>
    <n v="10800"/>
    <s v="Subscripción"/>
    <s v="Gasto"/>
    <s v="Pago Unico"/>
    <m/>
    <m/>
    <s v="Gastos del mes debitables"/>
    <n v="2"/>
    <x v="0"/>
    <n v="1"/>
    <m/>
  </r>
  <r>
    <x v="19"/>
    <s v="Auto"/>
    <n v="333045"/>
    <s v="Auto"/>
    <s v="Gasto"/>
    <s v="En Cuotas"/>
    <n v="48"/>
    <n v="1"/>
    <s v="Gastos del mes debitables"/>
    <n v="2"/>
    <x v="0"/>
    <n v="1"/>
    <m/>
  </r>
  <r>
    <x v="19"/>
    <s v="Cochera"/>
    <n v="70000"/>
    <s v="Auto"/>
    <s v="Gasto"/>
    <s v="Pago Unico"/>
    <m/>
    <m/>
    <s v="Gastos del mes debitables"/>
    <n v="2"/>
    <x v="0"/>
    <n v="1"/>
    <m/>
  </r>
  <r>
    <x v="19"/>
    <s v="Seguro Auto"/>
    <n v="74674"/>
    <s v="Auto"/>
    <s v="Gasto"/>
    <s v="Pago Unico"/>
    <m/>
    <m/>
    <s v="Gastos del mes debitables"/>
    <n v="2"/>
    <x v="0"/>
    <n v="1"/>
    <m/>
  </r>
  <r>
    <x v="20"/>
    <s v="Comida Mes"/>
    <n v="240000"/>
    <s v="Comida"/>
    <s v="Gasto"/>
    <s v="Pago Unico"/>
    <m/>
    <m/>
    <s v="Gastos del mes debitables"/>
    <n v="2"/>
    <x v="0"/>
    <n v="1"/>
    <m/>
  </r>
  <r>
    <x v="20"/>
    <s v="Super"/>
    <n v="150000"/>
    <s v="Comida"/>
    <s v="Gasto"/>
    <s v="Pago Unico"/>
    <m/>
    <m/>
    <s v="Gastos del mes debitables"/>
    <n v="2"/>
    <x v="0"/>
    <n v="1"/>
    <m/>
  </r>
  <r>
    <x v="20"/>
    <s v="TV"/>
    <n v="43000"/>
    <s v="Creditos"/>
    <s v="Gasto"/>
    <s v="En Cuotas"/>
    <n v="12"/>
    <n v="6"/>
    <s v="Gastos del mes debitables"/>
    <n v="2"/>
    <x v="0"/>
    <n v="1"/>
    <m/>
  </r>
  <r>
    <x v="20"/>
    <s v="Relojes"/>
    <n v="22498"/>
    <s v="Creditos"/>
    <s v="Gasto"/>
    <s v="En Cuotas"/>
    <n v="9"/>
    <n v="5"/>
    <s v="Gastos del mes debitables"/>
    <n v="2"/>
    <x v="0"/>
    <n v="1"/>
    <m/>
  </r>
  <r>
    <x v="20"/>
    <s v="Joystick"/>
    <n v="14200"/>
    <s v="Creditos"/>
    <s v="Gasto"/>
    <s v="Pago Unico"/>
    <m/>
    <m/>
    <s v="Gastos del mes debitables"/>
    <n v="2"/>
    <x v="0"/>
    <n v="1"/>
    <m/>
  </r>
  <r>
    <x v="20"/>
    <s v="Expensas"/>
    <n v="90000"/>
    <s v="Depto"/>
    <s v="Gasto"/>
    <s v="Pago Unico"/>
    <m/>
    <m/>
    <s v="Gastos del mes pagar Papi"/>
    <n v="1"/>
    <x v="3"/>
    <n v="2"/>
    <m/>
  </r>
  <r>
    <x v="20"/>
    <s v="Alquiler"/>
    <n v="155322"/>
    <s v="Depto"/>
    <s v="Gasto"/>
    <s v="Pago Unico"/>
    <m/>
    <m/>
    <s v="Gastos del mes pagar Papi"/>
    <n v="1"/>
    <x v="3"/>
    <n v="2"/>
    <m/>
  </r>
  <r>
    <x v="20"/>
    <s v="Trabajo"/>
    <n v="2244183.33"/>
    <s v="Ingreso"/>
    <s v="Ingreso"/>
    <s v="Cobro"/>
    <m/>
    <m/>
    <s v="Cobro Mensual"/>
    <n v="4"/>
    <x v="1"/>
    <n v="4"/>
    <m/>
  </r>
  <r>
    <x v="20"/>
    <s v="Beca"/>
    <n v="81645"/>
    <s v="Ingreso"/>
    <s v="Ingreso"/>
    <s v="Cobro"/>
    <m/>
    <m/>
    <s v="Cobro Mensual"/>
    <n v="4"/>
    <x v="1"/>
    <n v="4"/>
    <m/>
  </r>
  <r>
    <x v="20"/>
    <s v="CuotaJuan"/>
    <n v="158900"/>
    <s v="Juan"/>
    <s v="Gasto"/>
    <s v="Pago Unico"/>
    <m/>
    <m/>
    <s v="Gastos del mes pagar Papi"/>
    <n v="1"/>
    <x v="3"/>
    <n v="2"/>
    <m/>
  </r>
  <r>
    <x v="20"/>
    <s v="Bicicross"/>
    <n v="43000"/>
    <s v="Juan"/>
    <s v="Gasto"/>
    <s v="Pago Unico"/>
    <m/>
    <m/>
    <s v="Gastos del mes debitables"/>
    <n v="2"/>
    <x v="0"/>
    <n v="1"/>
    <m/>
  </r>
  <r>
    <x v="20"/>
    <s v="Carrera"/>
    <n v="0"/>
    <s v="Juan"/>
    <s v="Gasto"/>
    <s v="Pago Unico"/>
    <m/>
    <m/>
    <s v="Gastos del mes pagar Papi"/>
    <n v="1"/>
    <x v="0"/>
    <n v="1"/>
    <m/>
  </r>
  <r>
    <x v="20"/>
    <s v="Viaje Estudio"/>
    <n v="70000"/>
    <s v="Juan"/>
    <s v="Gasto"/>
    <s v="En Cuotas"/>
    <n v="12"/>
    <n v="4"/>
    <s v="Gastos del mes debitables"/>
    <n v="2"/>
    <x v="0"/>
    <n v="1"/>
    <m/>
  </r>
  <r>
    <x v="20"/>
    <s v="Monotributo"/>
    <n v="90000"/>
    <s v="Monotributo"/>
    <s v="Gasto"/>
    <s v="Pago Unico"/>
    <m/>
    <m/>
    <s v="Gastos del mes debitables"/>
    <n v="2"/>
    <x v="0"/>
    <n v="1"/>
    <m/>
  </r>
  <r>
    <x v="20"/>
    <s v="Cubierta Bici"/>
    <n v="50000"/>
    <s v="Salud"/>
    <s v="Gasto"/>
    <s v="Pago Unico"/>
    <m/>
    <m/>
    <s v="Gastos del mes pagar Papi"/>
    <n v="1"/>
    <x v="3"/>
    <n v="2"/>
    <m/>
  </r>
  <r>
    <x v="20"/>
    <s v="Gym        "/>
    <n v="30000"/>
    <s v="Salud"/>
    <s v="Gasto"/>
    <s v="Pago Unico"/>
    <m/>
    <m/>
    <s v="Gastos del mes pagar Papi"/>
    <n v="1"/>
    <x v="3"/>
    <n v="2"/>
    <m/>
  </r>
  <r>
    <x v="20"/>
    <s v="Kine"/>
    <n v="39000"/>
    <s v="Salud"/>
    <s v="Gasto"/>
    <s v="Pago Unico"/>
    <m/>
    <m/>
    <s v="Gastos del mes debitables"/>
    <n v="2"/>
    <x v="0"/>
    <n v="1"/>
    <m/>
  </r>
  <r>
    <x v="20"/>
    <s v="Obra Social"/>
    <n v="116926"/>
    <s v="Salud"/>
    <s v="Gasto"/>
    <s v="Pago Unico"/>
    <m/>
    <m/>
    <s v="Gastos del mes debitables"/>
    <n v="2"/>
    <x v="0"/>
    <n v="1"/>
    <m/>
  </r>
  <r>
    <x v="20"/>
    <s v="Internet"/>
    <n v="10000"/>
    <s v="Servicios"/>
    <s v="Gasto"/>
    <s v="Pago Unico"/>
    <m/>
    <m/>
    <s v="Gastos del mes pagar Papi"/>
    <n v="1"/>
    <x v="3"/>
    <n v="2"/>
    <m/>
  </r>
  <r>
    <x v="20"/>
    <s v="Luz"/>
    <n v="15500"/>
    <s v="Servicios"/>
    <s v="Gasto"/>
    <s v="Pago Unico"/>
    <m/>
    <m/>
    <s v="Gastos del mes pagar Papi"/>
    <n v="1"/>
    <x v="3"/>
    <n v="2"/>
    <m/>
  </r>
  <r>
    <x v="20"/>
    <s v="Xbox"/>
    <n v="9122"/>
    <s v="Subscripción"/>
    <s v="Gasto"/>
    <s v="Pago Unico"/>
    <m/>
    <m/>
    <s v="Gastos del mes debitables"/>
    <n v="2"/>
    <x v="0"/>
    <n v="1"/>
    <m/>
  </r>
  <r>
    <x v="20"/>
    <s v="Spotify"/>
    <n v="2000"/>
    <s v="Subscripción"/>
    <s v="Gasto"/>
    <s v="Pago Unico"/>
    <m/>
    <m/>
    <s v="Gastos del mes debitables"/>
    <n v="2"/>
    <x v="0"/>
    <n v="1"/>
    <m/>
  </r>
  <r>
    <x v="20"/>
    <s v="Google"/>
    <n v="3391"/>
    <s v="Subscripción"/>
    <s v="Gasto"/>
    <s v="Pago Unico"/>
    <m/>
    <m/>
    <s v="Gastos del mes debitables"/>
    <n v="2"/>
    <x v="0"/>
    <n v="1"/>
    <m/>
  </r>
  <r>
    <x v="20"/>
    <s v="Youtube"/>
    <n v="1904"/>
    <s v="Subscripción"/>
    <s v="Gasto"/>
    <s v="Pago Unico"/>
    <m/>
    <m/>
    <s v="Gastos del mes debitables"/>
    <n v="2"/>
    <x v="0"/>
    <n v="1"/>
    <m/>
  </r>
  <r>
    <x v="20"/>
    <s v="Netflix"/>
    <n v="21000"/>
    <s v="Subscripción"/>
    <s v="Gasto"/>
    <s v="Pago Unico"/>
    <m/>
    <m/>
    <s v="Gastos del mes debitables"/>
    <n v="2"/>
    <x v="0"/>
    <n v="1"/>
    <m/>
  </r>
  <r>
    <x v="20"/>
    <s v="Max"/>
    <n v="10800"/>
    <s v="Subscripción"/>
    <s v="Gasto"/>
    <s v="Pago Unico"/>
    <m/>
    <m/>
    <s v="Gastos del mes debitables"/>
    <n v="2"/>
    <x v="0"/>
    <n v="1"/>
    <m/>
  </r>
  <r>
    <x v="20"/>
    <s v="Auto"/>
    <n v="333045"/>
    <s v="Auto"/>
    <s v="Gasto"/>
    <s v="En Cuotas"/>
    <n v="48"/>
    <n v="1"/>
    <s v="Gastos del mes debitables"/>
    <n v="2"/>
    <x v="0"/>
    <n v="1"/>
    <m/>
  </r>
  <r>
    <x v="20"/>
    <s v="Cochera"/>
    <n v="70000"/>
    <s v="Auto"/>
    <s v="Gasto"/>
    <s v="Pago Unico"/>
    <m/>
    <m/>
    <s v="Gastos del mes debitables"/>
    <n v="2"/>
    <x v="0"/>
    <n v="1"/>
    <m/>
  </r>
  <r>
    <x v="20"/>
    <s v="Seguro Auto"/>
    <n v="74674"/>
    <s v="Auto"/>
    <s v="Gasto"/>
    <s v="Pago Unico"/>
    <m/>
    <m/>
    <s v="Gastos del mes debitables"/>
    <n v="2"/>
    <x v="0"/>
    <n v="1"/>
    <m/>
  </r>
  <r>
    <x v="21"/>
    <s v="Trabajo"/>
    <n v="2189000"/>
    <s v="Ingreso"/>
    <s v="Ingreso"/>
    <s v="Cobro"/>
    <m/>
    <m/>
    <s v="Cobro Mensual"/>
    <n v="4"/>
    <x v="1"/>
    <n v="4"/>
    <m/>
  </r>
  <r>
    <x v="21"/>
    <s v="Beca"/>
    <n v="81645"/>
    <s v="Ingreso"/>
    <s v="Ingreso"/>
    <s v="Cobro"/>
    <m/>
    <m/>
    <s v="Cobro Mensual"/>
    <n v="4"/>
    <x v="1"/>
    <n v="4"/>
    <m/>
  </r>
  <r>
    <x v="21"/>
    <s v="Préstamo Auto"/>
    <n v="160920"/>
    <s v="Auto"/>
    <s v="Gasto"/>
    <s v="En Cuotas"/>
    <n v="12"/>
    <n v="2"/>
    <s v="Gastos del mes debitables"/>
    <n v="2"/>
    <x v="0"/>
    <n v="1"/>
    <m/>
  </r>
  <r>
    <x v="21"/>
    <s v="Auto"/>
    <n v="333045"/>
    <s v="Auto"/>
    <s v="Gasto"/>
    <s v="En Cuotas"/>
    <n v="48"/>
    <n v="2"/>
    <s v="Gastos del mes debitables"/>
    <n v="2"/>
    <x v="0"/>
    <n v="1"/>
    <m/>
  </r>
  <r>
    <x v="21"/>
    <s v="Cochera"/>
    <n v="70000"/>
    <s v="Auto"/>
    <s v="Gasto"/>
    <s v="Pago Unico"/>
    <m/>
    <m/>
    <s v="Gastos del mes debitables"/>
    <n v="2"/>
    <x v="0"/>
    <n v="1"/>
    <m/>
  </r>
  <r>
    <x v="21"/>
    <s v="Seguro Auto"/>
    <n v="74674"/>
    <s v="Auto"/>
    <s v="Gasto"/>
    <s v="Pago Unico"/>
    <m/>
    <m/>
    <s v="Gastos del mes debitables"/>
    <n v="2"/>
    <x v="0"/>
    <n v="1"/>
    <m/>
  </r>
  <r>
    <x v="21"/>
    <s v="Comida Mes"/>
    <n v="240000"/>
    <s v="Comida"/>
    <s v="Gasto"/>
    <s v="Pago Unico"/>
    <m/>
    <m/>
    <s v="Gastos del mes debitables"/>
    <n v="2"/>
    <x v="2"/>
    <n v="3"/>
    <m/>
  </r>
  <r>
    <x v="21"/>
    <s v="Super"/>
    <n v="150000"/>
    <s v="Comida"/>
    <s v="Gasto"/>
    <s v="Pago Unico"/>
    <m/>
    <m/>
    <s v="Gastos del mes debitables"/>
    <n v="2"/>
    <x v="2"/>
    <n v="3"/>
    <m/>
  </r>
  <r>
    <x v="21"/>
    <s v="TV"/>
    <n v="43000"/>
    <s v="Creditos"/>
    <s v="Gasto"/>
    <s v="En Cuotas"/>
    <n v="12"/>
    <n v="7"/>
    <s v="Gastos del mes debitables"/>
    <n v="2"/>
    <x v="0"/>
    <n v="1"/>
    <m/>
  </r>
  <r>
    <x v="21"/>
    <s v="Relojes"/>
    <n v="22498"/>
    <s v="Creditos"/>
    <s v="Gasto"/>
    <s v="En Cuotas"/>
    <n v="9"/>
    <n v="6"/>
    <s v="Gastos del mes debitables"/>
    <n v="2"/>
    <x v="0"/>
    <n v="1"/>
    <m/>
  </r>
  <r>
    <x v="21"/>
    <s v="Joystick"/>
    <n v="14200"/>
    <s v="Creditos"/>
    <s v="Gasto"/>
    <s v="Pago Unico"/>
    <n v="3"/>
    <n v="2"/>
    <s v="Gastos del mes debitables"/>
    <n v="2"/>
    <x v="0"/>
    <n v="1"/>
    <m/>
  </r>
  <r>
    <x v="21"/>
    <s v="Gacebo"/>
    <n v="43244"/>
    <s v="Creditos"/>
    <s v="Gasto"/>
    <s v="Pago Unico"/>
    <n v="12"/>
    <n v="1"/>
    <s v="Gastos del mes debitables"/>
    <n v="2"/>
    <x v="0"/>
    <n v="1"/>
    <m/>
  </r>
  <r>
    <x v="21"/>
    <s v="Bicicross"/>
    <n v="43000"/>
    <s v="Juan"/>
    <s v="Gasto"/>
    <s v="Pago Unico"/>
    <m/>
    <m/>
    <s v="Gastos del mes debitables"/>
    <n v="2"/>
    <x v="0"/>
    <n v="1"/>
    <m/>
  </r>
  <r>
    <x v="21"/>
    <s v="Viaje Estudio"/>
    <n v="70000"/>
    <s v="Juan"/>
    <s v="Gasto"/>
    <s v="En Cuotas"/>
    <n v="12"/>
    <n v="5"/>
    <s v="Gastos del mes debitables"/>
    <n v="2"/>
    <x v="0"/>
    <n v="1"/>
    <m/>
  </r>
  <r>
    <x v="21"/>
    <s v="Monotributo"/>
    <n v="90000"/>
    <s v="Monotributo"/>
    <s v="Gasto"/>
    <s v="Pago Unico"/>
    <m/>
    <m/>
    <s v="Gastos del mes debitables"/>
    <n v="2"/>
    <x v="2"/>
    <n v="3"/>
    <m/>
  </r>
  <r>
    <x v="21"/>
    <s v="Kine"/>
    <n v="74000"/>
    <s v="Salud"/>
    <s v="Gasto"/>
    <s v="Pago Unico"/>
    <m/>
    <m/>
    <s v="Gastos del mes debitables"/>
    <n v="2"/>
    <x v="0"/>
    <n v="1"/>
    <m/>
  </r>
  <r>
    <x v="21"/>
    <s v="Obra Social"/>
    <n v="116926"/>
    <s v="Salud"/>
    <s v="Gasto"/>
    <s v="Pago Unico"/>
    <m/>
    <m/>
    <s v="Gastos del mes debitables"/>
    <n v="2"/>
    <x v="0"/>
    <n v="1"/>
    <m/>
  </r>
  <r>
    <x v="21"/>
    <s v="Xbox"/>
    <n v="9122"/>
    <s v="Subscripción"/>
    <s v="Gasto"/>
    <s v="Pago Unico"/>
    <m/>
    <m/>
    <s v="Gastos del mes debitables"/>
    <n v="2"/>
    <x v="2"/>
    <n v="3"/>
    <m/>
  </r>
  <r>
    <x v="21"/>
    <s v="Spotify"/>
    <n v="2000"/>
    <s v="Subscripción"/>
    <s v="Gasto"/>
    <s v="Pago Unico"/>
    <m/>
    <m/>
    <s v="Gastos del mes debitables"/>
    <n v="2"/>
    <x v="2"/>
    <n v="3"/>
    <m/>
  </r>
  <r>
    <x v="21"/>
    <s v="Google"/>
    <n v="3391"/>
    <s v="Subscripción"/>
    <s v="Gasto"/>
    <s v="Pago Unico"/>
    <m/>
    <m/>
    <s v="Gastos del mes debitables"/>
    <n v="2"/>
    <x v="2"/>
    <n v="3"/>
    <m/>
  </r>
  <r>
    <x v="21"/>
    <s v="Youtube"/>
    <n v="1904"/>
    <s v="Subscripción"/>
    <s v="Gasto"/>
    <s v="Pago Unico"/>
    <m/>
    <m/>
    <s v="Gastos del mes debitables"/>
    <n v="2"/>
    <x v="2"/>
    <n v="3"/>
    <m/>
  </r>
  <r>
    <x v="21"/>
    <s v="Netflix"/>
    <n v="21000"/>
    <s v="Subscripción"/>
    <s v="Gasto"/>
    <s v="Pago Unico"/>
    <m/>
    <m/>
    <s v="Gastos del mes debitables"/>
    <n v="2"/>
    <x v="2"/>
    <n v="3"/>
    <m/>
  </r>
  <r>
    <x v="21"/>
    <s v="Max"/>
    <n v="10800"/>
    <s v="Subscripción"/>
    <s v="Gasto"/>
    <s v="Pago Unico"/>
    <m/>
    <m/>
    <s v="Gastos del mes debitables"/>
    <n v="2"/>
    <x v="2"/>
    <n v="3"/>
    <m/>
  </r>
  <r>
    <x v="21"/>
    <s v="Expensas"/>
    <n v="90000"/>
    <s v="Depto"/>
    <s v="Gasto"/>
    <s v="Pago Unico"/>
    <m/>
    <m/>
    <s v="Gastos del mes pagar Papi"/>
    <n v="1"/>
    <x v="2"/>
    <n v="3"/>
    <m/>
  </r>
  <r>
    <x v="21"/>
    <s v="Alquiler"/>
    <n v="155322"/>
    <s v="Depto"/>
    <s v="Gasto"/>
    <s v="Pago Unico"/>
    <m/>
    <m/>
    <s v="Gastos del mes pagar Papi"/>
    <n v="1"/>
    <x v="2"/>
    <n v="3"/>
    <m/>
  </r>
  <r>
    <x v="21"/>
    <s v="CuotaJuan"/>
    <n v="158900"/>
    <s v="Juan"/>
    <s v="Gasto"/>
    <s v="Pago Unico"/>
    <m/>
    <m/>
    <s v="Gastos del mes pagar Papi"/>
    <n v="1"/>
    <x v="2"/>
    <n v="3"/>
    <m/>
  </r>
  <r>
    <x v="21"/>
    <s v="Carrera"/>
    <n v="25000"/>
    <s v="Juan"/>
    <s v="Gasto"/>
    <s v="Pago Unico"/>
    <m/>
    <m/>
    <s v="Gastos del mes pagar Papi"/>
    <n v="1"/>
    <x v="2"/>
    <n v="3"/>
    <m/>
  </r>
  <r>
    <x v="21"/>
    <s v="Cubierta Bici"/>
    <n v="50000"/>
    <s v="Juan"/>
    <s v="Gasto"/>
    <s v="Pago Unico"/>
    <m/>
    <m/>
    <s v="Gastos del mes pagar Papi"/>
    <n v="1"/>
    <x v="2"/>
    <n v="3"/>
    <m/>
  </r>
  <r>
    <x v="21"/>
    <s v="Gym        "/>
    <n v="30000"/>
    <s v="Salud"/>
    <s v="Gasto"/>
    <s v="Pago Unico"/>
    <m/>
    <m/>
    <s v="Gastos del mes pagar Papi"/>
    <n v="1"/>
    <x v="2"/>
    <n v="3"/>
    <m/>
  </r>
  <r>
    <x v="21"/>
    <s v="Internet"/>
    <n v="10000"/>
    <s v="Servicios"/>
    <s v="Gasto"/>
    <s v="Pago Unico"/>
    <m/>
    <m/>
    <s v="Gastos del mes pagar Papi"/>
    <n v="1"/>
    <x v="2"/>
    <n v="3"/>
    <m/>
  </r>
  <r>
    <x v="21"/>
    <s v="Luz"/>
    <n v="15500"/>
    <s v="Servicios"/>
    <s v="Gasto"/>
    <s v="Pago Unico"/>
    <m/>
    <m/>
    <s v="Gastos del mes pagar Papi"/>
    <n v="1"/>
    <x v="2"/>
    <n v="3"/>
    <m/>
  </r>
  <r>
    <x v="22"/>
    <s v="Trabajo"/>
    <n v="2112000"/>
    <s v="Ingreso"/>
    <s v="Ingreso"/>
    <s v="Cobro"/>
    <m/>
    <m/>
    <s v="Cobro Mensual"/>
    <n v="4"/>
    <x v="1"/>
    <n v="4"/>
    <m/>
  </r>
  <r>
    <x v="22"/>
    <s v="Beca"/>
    <n v="81645"/>
    <s v="Ingreso"/>
    <s v="Ingreso"/>
    <s v="Cobro"/>
    <m/>
    <m/>
    <s v="Cobro Mensual"/>
    <n v="4"/>
    <x v="1"/>
    <n v="4"/>
    <m/>
  </r>
  <r>
    <x v="22"/>
    <s v="Auto"/>
    <n v="346620"/>
    <s v="Auto"/>
    <s v="Gasto"/>
    <s v="En Cuotas"/>
    <n v="48"/>
    <n v="3"/>
    <s v="Gastos del mes debitables"/>
    <n v="2"/>
    <x v="0"/>
    <n v="1"/>
    <m/>
  </r>
  <r>
    <x v="22"/>
    <s v="Cochera"/>
    <n v="80500"/>
    <s v="Auto"/>
    <s v="Gasto"/>
    <s v="Pago Unico"/>
    <m/>
    <m/>
    <s v="Gastos del mes debitables"/>
    <n v="2"/>
    <x v="0"/>
    <n v="1"/>
    <m/>
  </r>
  <r>
    <x v="22"/>
    <s v="Seguro Auto"/>
    <n v="77908"/>
    <s v="Auto"/>
    <s v="Gasto"/>
    <s v="Pago Unico"/>
    <m/>
    <m/>
    <s v="Gastos del mes debitables"/>
    <n v="2"/>
    <x v="0"/>
    <n v="1"/>
    <m/>
  </r>
  <r>
    <x v="22"/>
    <s v="Comida Mes"/>
    <n v="240000"/>
    <s v="Comida"/>
    <s v="Gasto"/>
    <s v="Pago Unico"/>
    <m/>
    <m/>
    <s v="Gastos del mes debitables"/>
    <n v="2"/>
    <x v="0"/>
    <n v="1"/>
    <m/>
  </r>
  <r>
    <x v="22"/>
    <s v="Super"/>
    <n v="150000"/>
    <s v="Comida"/>
    <s v="Gasto"/>
    <s v="Pago Unico"/>
    <m/>
    <m/>
    <s v="Gastos del mes debitables"/>
    <n v="2"/>
    <x v="0"/>
    <n v="1"/>
    <m/>
  </r>
  <r>
    <x v="22"/>
    <s v="TV"/>
    <n v="44166"/>
    <s v="Creditos"/>
    <s v="Gasto"/>
    <s v="En Cuotas"/>
    <n v="12"/>
    <n v="8"/>
    <s v="Gastos del mes debitables"/>
    <n v="2"/>
    <x v="0"/>
    <n v="1"/>
    <m/>
  </r>
  <r>
    <x v="22"/>
    <s v="Relojes"/>
    <n v="12666"/>
    <s v="Creditos"/>
    <s v="Gasto"/>
    <s v="En Cuotas"/>
    <n v="9"/>
    <n v="7"/>
    <s v="Gastos del mes debitables"/>
    <n v="2"/>
    <x v="0"/>
    <n v="1"/>
    <m/>
  </r>
  <r>
    <x v="22"/>
    <s v="Joystick"/>
    <n v="13570"/>
    <s v="Creditos"/>
    <s v="Gasto"/>
    <s v="Pago Unico"/>
    <n v="5"/>
    <n v="3"/>
    <s v="Gastos del mes debitables"/>
    <n v="2"/>
    <x v="0"/>
    <n v="1"/>
    <m/>
  </r>
  <r>
    <x v="22"/>
    <s v="Gacebo"/>
    <n v="43244"/>
    <s v="Creditos"/>
    <s v="Gasto"/>
    <s v="Pago Unico"/>
    <n v="12"/>
    <n v="2"/>
    <s v="Gastos del mes debitables"/>
    <n v="2"/>
    <x v="0"/>
    <n v="1"/>
    <m/>
  </r>
  <r>
    <x v="22"/>
    <s v="Bicicross"/>
    <n v="52000"/>
    <s v="Juan"/>
    <s v="Gasto"/>
    <s v="Pago Unico"/>
    <m/>
    <m/>
    <s v="Gastos del mes debitables"/>
    <n v="2"/>
    <x v="0"/>
    <n v="1"/>
    <m/>
  </r>
  <r>
    <x v="22"/>
    <s v="Viaje Estudio"/>
    <n v="70000"/>
    <s v="Juan"/>
    <s v="Gasto"/>
    <s v="En Cuotas"/>
    <n v="12"/>
    <n v="7"/>
    <s v="Gastos del mes debitables"/>
    <n v="2"/>
    <x v="0"/>
    <n v="1"/>
    <m/>
  </r>
  <r>
    <x v="22"/>
    <s v="Monotributo"/>
    <n v="90615"/>
    <s v="Monotributo"/>
    <s v="Gasto"/>
    <s v="Pago Unico"/>
    <m/>
    <m/>
    <s v="Gastos del mes debitables"/>
    <n v="2"/>
    <x v="2"/>
    <n v="3"/>
    <m/>
  </r>
  <r>
    <x v="22"/>
    <s v="Kine"/>
    <n v="42000"/>
    <s v="Salud"/>
    <s v="Gasto"/>
    <s v="Pago Unico"/>
    <m/>
    <m/>
    <s v="Gastos del mes debitables"/>
    <n v="2"/>
    <x v="0"/>
    <n v="1"/>
    <m/>
  </r>
  <r>
    <x v="22"/>
    <s v="Obra Social"/>
    <n v="157670"/>
    <s v="Salud"/>
    <s v="Gasto"/>
    <s v="Pago Unico"/>
    <m/>
    <m/>
    <s v="Gastos del mes debitables"/>
    <n v="2"/>
    <x v="2"/>
    <n v="3"/>
    <m/>
  </r>
  <r>
    <x v="22"/>
    <s v="Xbox"/>
    <n v="9122"/>
    <s v="Subscripción"/>
    <s v="Gasto"/>
    <s v="Pago Unico"/>
    <m/>
    <m/>
    <s v="Gastos del mes debitables"/>
    <n v="2"/>
    <x v="2"/>
    <n v="3"/>
    <m/>
  </r>
  <r>
    <x v="22"/>
    <s v="Spotify"/>
    <n v="2000"/>
    <s v="Subscripción"/>
    <s v="Gasto"/>
    <s v="Pago Unico"/>
    <m/>
    <m/>
    <s v="Gastos del mes debitables"/>
    <n v="2"/>
    <x v="2"/>
    <n v="3"/>
    <m/>
  </r>
  <r>
    <x v="22"/>
    <s v="Google"/>
    <n v="3391"/>
    <s v="Subscripción"/>
    <s v="Gasto"/>
    <s v="Pago Unico"/>
    <m/>
    <m/>
    <s v="Gastos del mes debitables"/>
    <n v="2"/>
    <x v="2"/>
    <n v="3"/>
    <m/>
  </r>
  <r>
    <x v="22"/>
    <s v="Youtube"/>
    <n v="1904"/>
    <s v="Subscripción"/>
    <s v="Gasto"/>
    <s v="Pago Unico"/>
    <m/>
    <m/>
    <s v="Gastos del mes debitables"/>
    <n v="2"/>
    <x v="2"/>
    <n v="3"/>
    <m/>
  </r>
  <r>
    <x v="22"/>
    <s v="Netflix"/>
    <n v="21000"/>
    <s v="Subscripción"/>
    <s v="Gasto"/>
    <s v="Pago Unico"/>
    <m/>
    <m/>
    <s v="Gastos del mes debitables"/>
    <n v="2"/>
    <x v="2"/>
    <n v="3"/>
    <m/>
  </r>
  <r>
    <x v="22"/>
    <s v="Max"/>
    <n v="10800"/>
    <s v="Subscripción"/>
    <s v="Gasto"/>
    <s v="Pago Unico"/>
    <m/>
    <m/>
    <s v="Gastos del mes debitables"/>
    <n v="2"/>
    <x v="2"/>
    <n v="3"/>
    <m/>
  </r>
  <r>
    <x v="22"/>
    <s v="Expensas"/>
    <n v="99000"/>
    <s v="Depto"/>
    <s v="Gasto"/>
    <s v="Pago Unico"/>
    <m/>
    <m/>
    <s v="Gastos del mes pagar Papi"/>
    <n v="1"/>
    <x v="2"/>
    <n v="3"/>
    <m/>
  </r>
  <r>
    <x v="22"/>
    <s v="Alquiler"/>
    <n v="164667"/>
    <s v="Depto"/>
    <s v="Gasto"/>
    <s v="Pago Unico"/>
    <m/>
    <m/>
    <s v="Gastos del mes pagar Papi"/>
    <n v="1"/>
    <x v="2"/>
    <n v="3"/>
    <m/>
  </r>
  <r>
    <x v="22"/>
    <s v="CuotaJuan"/>
    <n v="161000"/>
    <s v="Juan"/>
    <s v="Gasto"/>
    <s v="Pago Unico"/>
    <m/>
    <m/>
    <s v="Gastos del mes pagar Papi"/>
    <n v="1"/>
    <x v="2"/>
    <n v="3"/>
    <m/>
  </r>
  <r>
    <x v="22"/>
    <s v="Carrera"/>
    <n v="25000"/>
    <s v="Juan"/>
    <s v="Gasto"/>
    <s v="Pago Unico"/>
    <m/>
    <m/>
    <s v="Gastos del mes pagar Papi"/>
    <n v="1"/>
    <x v="2"/>
    <n v="3"/>
    <m/>
  </r>
  <r>
    <x v="22"/>
    <s v="Gym        "/>
    <n v="30000"/>
    <s v="Salud"/>
    <s v="Gasto"/>
    <s v="Pago Unico"/>
    <m/>
    <m/>
    <s v="Gastos del mes pagar Papi"/>
    <n v="1"/>
    <x v="2"/>
    <n v="3"/>
    <m/>
  </r>
  <r>
    <x v="22"/>
    <s v="Internet"/>
    <n v="10000"/>
    <s v="Servicios"/>
    <s v="Gasto"/>
    <s v="Pago Unico"/>
    <m/>
    <m/>
    <s v="Gastos del mes pagar Papi"/>
    <n v="1"/>
    <x v="2"/>
    <n v="3"/>
    <m/>
  </r>
  <r>
    <x v="22"/>
    <s v="Luz"/>
    <n v="15500"/>
    <s v="Servicios"/>
    <s v="Gasto"/>
    <s v="Pago Unico"/>
    <m/>
    <m/>
    <s v="Gastos del mes pagar Papi"/>
    <n v="1"/>
    <x v="2"/>
    <n v="3"/>
    <m/>
  </r>
  <r>
    <x v="23"/>
    <s v="Trabajo"/>
    <n v="2073500"/>
    <s v="Ingreso"/>
    <s v="Ingreso"/>
    <s v="Cobro"/>
    <m/>
    <m/>
    <s v="Cobro Mensual"/>
    <n v="4"/>
    <x v="1"/>
    <n v="4"/>
    <m/>
  </r>
  <r>
    <x v="23"/>
    <s v="Beca"/>
    <n v="81645"/>
    <s v="Ingreso"/>
    <s v="Ingreso"/>
    <s v="Cobro"/>
    <m/>
    <m/>
    <s v="Cobro Mensual"/>
    <n v="4"/>
    <x v="1"/>
    <n v="4"/>
    <m/>
  </r>
  <r>
    <x v="23"/>
    <s v="Auto"/>
    <n v="351923"/>
    <s v="Auto"/>
    <s v="Gasto"/>
    <s v="En Cuotas"/>
    <n v="48"/>
    <n v="3"/>
    <s v="Gastos del mes debitables"/>
    <n v="2"/>
    <x v="0"/>
    <n v="1"/>
    <m/>
  </r>
  <r>
    <x v="23"/>
    <s v="Cochera"/>
    <n v="80500"/>
    <s v="Auto"/>
    <s v="Gasto"/>
    <s v="Pago Unico"/>
    <m/>
    <m/>
    <s v="Gastos del mes debitables"/>
    <n v="2"/>
    <x v="0"/>
    <n v="1"/>
    <m/>
  </r>
  <r>
    <x v="23"/>
    <s v="Seguro Auto"/>
    <n v="81025"/>
    <s v="Auto"/>
    <s v="Gasto"/>
    <s v="Pago Unico"/>
    <m/>
    <m/>
    <s v="Gastos del mes debitables"/>
    <n v="2"/>
    <x v="0"/>
    <n v="1"/>
    <m/>
  </r>
  <r>
    <x v="23"/>
    <s v="Comida Mes"/>
    <n v="240000"/>
    <s v="Comida"/>
    <s v="Gasto"/>
    <s v="Pago Unico"/>
    <m/>
    <m/>
    <s v="Gastos del mes debitables"/>
    <n v="2"/>
    <x v="0"/>
    <n v="1"/>
    <m/>
  </r>
  <r>
    <x v="23"/>
    <s v="Super"/>
    <n v="145000"/>
    <s v="Comida"/>
    <s v="Gasto"/>
    <s v="Pago Unico"/>
    <m/>
    <m/>
    <s v="Gastos del mes debitables"/>
    <n v="2"/>
    <x v="0"/>
    <n v="1"/>
    <m/>
  </r>
  <r>
    <x v="23"/>
    <s v="Zapas"/>
    <n v="17474"/>
    <s v="Creditos"/>
    <s v="Gasto"/>
    <s v="En Cuotas"/>
    <n v="6"/>
    <n v="1"/>
    <s v="Gastos del mes debitables"/>
    <n v="2"/>
    <x v="0"/>
    <n v="1"/>
    <m/>
  </r>
  <r>
    <x v="23"/>
    <s v="TV"/>
    <n v="44166"/>
    <s v="Creditos"/>
    <s v="Gasto"/>
    <s v="En Cuotas"/>
    <n v="12"/>
    <n v="9"/>
    <s v="Gastos del mes debitables"/>
    <n v="2"/>
    <x v="0"/>
    <n v="1"/>
    <m/>
  </r>
  <r>
    <x v="23"/>
    <s v="Relojes"/>
    <n v="12666"/>
    <s v="Creditos"/>
    <s v="Gasto"/>
    <s v="En Cuotas"/>
    <n v="9"/>
    <n v="8"/>
    <s v="Gastos del mes debitables"/>
    <n v="2"/>
    <x v="0"/>
    <n v="1"/>
    <m/>
  </r>
  <r>
    <x v="23"/>
    <s v="Joystick"/>
    <n v="13570"/>
    <s v="Creditos"/>
    <s v="Gasto"/>
    <s v="Pago Unico"/>
    <n v="5"/>
    <n v="4"/>
    <s v="Gastos del mes debitables"/>
    <n v="2"/>
    <x v="0"/>
    <n v="1"/>
    <m/>
  </r>
  <r>
    <x v="23"/>
    <s v="Gacebo"/>
    <n v="43244"/>
    <s v="Creditos"/>
    <s v="Gasto"/>
    <s v="Pago Unico"/>
    <n v="12"/>
    <n v="3"/>
    <s v="Gastos del mes debitables"/>
    <n v="2"/>
    <x v="0"/>
    <n v="1"/>
    <m/>
  </r>
  <r>
    <x v="23"/>
    <s v="Regalo Juan"/>
    <n v="52000"/>
    <s v="Juan"/>
    <s v="Gasto"/>
    <s v="Pago Unico"/>
    <m/>
    <m/>
    <s v="Gastos del mes debitables"/>
    <n v="2"/>
    <x v="0"/>
    <n v="1"/>
    <m/>
  </r>
  <r>
    <x v="23"/>
    <s v="Viaje Estudio"/>
    <n v="70000"/>
    <s v="Juan"/>
    <s v="Gasto"/>
    <s v="En Cuotas"/>
    <n v="12"/>
    <n v="8"/>
    <s v="Gastos del mes debitables"/>
    <n v="2"/>
    <x v="0"/>
    <n v="1"/>
    <m/>
  </r>
  <r>
    <x v="23"/>
    <s v="Monotributo"/>
    <n v="90615"/>
    <s v="Monotributo"/>
    <s v="Gasto"/>
    <s v="Pago Unico"/>
    <m/>
    <m/>
    <s v="Gastos del mes debitables"/>
    <n v="2"/>
    <x v="0"/>
    <n v="1"/>
    <m/>
  </r>
  <r>
    <x v="23"/>
    <s v="Kine"/>
    <n v="42000"/>
    <s v="Salud"/>
    <s v="Gasto"/>
    <s v="Pago Unico"/>
    <m/>
    <m/>
    <s v="Gastos del mes debitables"/>
    <n v="2"/>
    <x v="0"/>
    <n v="1"/>
    <m/>
  </r>
  <r>
    <x v="23"/>
    <s v="Obra Social"/>
    <n v="161974"/>
    <s v="Salud"/>
    <s v="Gasto"/>
    <s v="Pago Unico"/>
    <m/>
    <m/>
    <s v="Gastos del mes debitables"/>
    <n v="2"/>
    <x v="0"/>
    <n v="1"/>
    <m/>
  </r>
  <r>
    <x v="23"/>
    <s v="Xbox"/>
    <n v="9122"/>
    <s v="Subscripción"/>
    <s v="Gasto"/>
    <s v="Pago Unico"/>
    <m/>
    <m/>
    <s v="Gastos del mes debitables"/>
    <n v="2"/>
    <x v="0"/>
    <n v="1"/>
    <m/>
  </r>
  <r>
    <x v="23"/>
    <s v="Spotify"/>
    <n v="2000"/>
    <s v="Subscripción"/>
    <s v="Gasto"/>
    <s v="Pago Unico"/>
    <m/>
    <m/>
    <s v="Gastos del mes debitables"/>
    <n v="2"/>
    <x v="0"/>
    <n v="1"/>
    <m/>
  </r>
  <r>
    <x v="23"/>
    <s v="Google"/>
    <n v="3391"/>
    <s v="Subscripción"/>
    <s v="Gasto"/>
    <s v="Pago Unico"/>
    <m/>
    <m/>
    <s v="Gastos del mes debitables"/>
    <n v="2"/>
    <x v="0"/>
    <n v="1"/>
    <m/>
  </r>
  <r>
    <x v="23"/>
    <s v="Youtube"/>
    <n v="1904"/>
    <s v="Subscripción"/>
    <s v="Gasto"/>
    <s v="Pago Unico"/>
    <m/>
    <m/>
    <s v="Gastos del mes debitables"/>
    <n v="2"/>
    <x v="0"/>
    <n v="1"/>
    <m/>
  </r>
  <r>
    <x v="23"/>
    <s v="Netflix"/>
    <n v="0"/>
    <s v="Subscripción"/>
    <s v="Gasto"/>
    <s v="Pago Unico"/>
    <m/>
    <m/>
    <s v="Gastos del mes debitables"/>
    <n v="2"/>
    <x v="0"/>
    <n v="1"/>
    <m/>
  </r>
  <r>
    <x v="23"/>
    <s v="Max"/>
    <n v="8400"/>
    <s v="Subscripción"/>
    <s v="Gasto"/>
    <s v="Pago Unico"/>
    <m/>
    <m/>
    <s v="Gastos del mes debitables"/>
    <n v="2"/>
    <x v="0"/>
    <n v="1"/>
    <m/>
  </r>
  <r>
    <x v="23"/>
    <s v="Expensas"/>
    <n v="114000"/>
    <s v="Depto"/>
    <s v="Gasto"/>
    <s v="Pago Unico"/>
    <m/>
    <m/>
    <s v="Gastos del mes pagar Papi"/>
    <n v="1"/>
    <x v="0"/>
    <n v="1"/>
    <m/>
  </r>
  <r>
    <x v="23"/>
    <s v="Alquiler"/>
    <n v="164667"/>
    <s v="Depto"/>
    <s v="Gasto"/>
    <s v="Pago Unico"/>
    <m/>
    <m/>
    <s v="Gastos del mes pagar Papi"/>
    <n v="1"/>
    <x v="0"/>
    <n v="1"/>
    <m/>
  </r>
  <r>
    <x v="23"/>
    <s v="CuotaJuan"/>
    <n v="161000"/>
    <s v="Juan"/>
    <s v="Gasto"/>
    <s v="Pago Unico"/>
    <m/>
    <m/>
    <s v="Gastos del mes pagar Papi"/>
    <n v="1"/>
    <x v="0"/>
    <n v="1"/>
    <m/>
  </r>
  <r>
    <x v="23"/>
    <s v="Gym        "/>
    <n v="30000"/>
    <s v="Salud"/>
    <s v="Gasto"/>
    <s v="Pago Unico"/>
    <m/>
    <m/>
    <s v="Gastos del mes pagar Papi"/>
    <n v="1"/>
    <x v="0"/>
    <n v="1"/>
    <m/>
  </r>
  <r>
    <x v="23"/>
    <s v="Internet"/>
    <n v="10000"/>
    <s v="Servicios"/>
    <s v="Gasto"/>
    <s v="Pago Unico"/>
    <m/>
    <m/>
    <s v="Gastos del mes pagar Papi"/>
    <n v="1"/>
    <x v="0"/>
    <n v="1"/>
    <m/>
  </r>
  <r>
    <x v="23"/>
    <s v="Multa"/>
    <n v="33192"/>
    <s v="Servicios"/>
    <s v="Gasto"/>
    <s v="Pago Unico"/>
    <m/>
    <m/>
    <s v="Gastos del mes debitables"/>
    <n v="2"/>
    <x v="0"/>
    <n v="1"/>
    <m/>
  </r>
  <r>
    <x v="23"/>
    <s v="Luz"/>
    <n v="15500"/>
    <s v="Servicios"/>
    <s v="Gasto"/>
    <s v="Pago Unico"/>
    <m/>
    <m/>
    <s v="Gastos del mes pagar Papi"/>
    <n v="1"/>
    <x v="0"/>
    <n v="1"/>
    <m/>
  </r>
  <r>
    <x v="24"/>
    <s v="Trabajo"/>
    <n v="2256738"/>
    <s v="Ingreso"/>
    <s v="Ingreso"/>
    <s v="Cobro"/>
    <m/>
    <m/>
    <s v="Cobro Mensual"/>
    <n v="4"/>
    <x v="1"/>
    <n v="4"/>
    <m/>
  </r>
  <r>
    <x v="24"/>
    <s v="Beca"/>
    <n v="81645"/>
    <s v="Ingreso"/>
    <s v="Ingreso"/>
    <s v="Cobro"/>
    <m/>
    <m/>
    <s v="Cobro Mensual"/>
    <n v="4"/>
    <x v="1"/>
    <n v="4"/>
    <m/>
  </r>
  <r>
    <x v="24"/>
    <s v="Auto"/>
    <n v="361582"/>
    <s v="Auto"/>
    <s v="Gasto"/>
    <s v="En Cuotas"/>
    <n v="48"/>
    <n v="4"/>
    <s v="Gastos del mes debitables"/>
    <n v="2"/>
    <x v="0"/>
    <n v="1"/>
    <m/>
  </r>
  <r>
    <x v="24"/>
    <s v="Cochera"/>
    <n v="80500"/>
    <s v="Auto"/>
    <s v="Gasto"/>
    <s v="Pago Unico"/>
    <m/>
    <m/>
    <s v="Gastos del mes debitables"/>
    <n v="2"/>
    <x v="0"/>
    <n v="1"/>
    <m/>
  </r>
  <r>
    <x v="24"/>
    <s v="Seguro Auto"/>
    <n v="54838"/>
    <s v="Auto"/>
    <s v="Gasto"/>
    <s v="Pago Unico"/>
    <m/>
    <m/>
    <s v="Gastos del mes debitables"/>
    <n v="2"/>
    <x v="0"/>
    <n v="1"/>
    <m/>
  </r>
  <r>
    <x v="24"/>
    <s v="Seguro Auto"/>
    <n v="81025"/>
    <s v="Auto"/>
    <s v="Gasto"/>
    <s v="Pago Unico"/>
    <m/>
    <m/>
    <s v="Gastos del mes debitables"/>
    <n v="2"/>
    <x v="0"/>
    <n v="1"/>
    <m/>
  </r>
  <r>
    <x v="24"/>
    <s v="Comida Mes"/>
    <n v="240000"/>
    <s v="Comida"/>
    <s v="Gasto"/>
    <s v="Pago Unico"/>
    <m/>
    <m/>
    <s v="Gastos del mes debitables"/>
    <n v="2"/>
    <x v="0"/>
    <n v="1"/>
    <m/>
  </r>
  <r>
    <x v="24"/>
    <s v="Super"/>
    <n v="145000"/>
    <s v="Comida"/>
    <s v="Gasto"/>
    <s v="Pago Unico"/>
    <m/>
    <m/>
    <s v="Gastos del mes debitables"/>
    <n v="2"/>
    <x v="0"/>
    <n v="1"/>
    <m/>
  </r>
  <r>
    <x v="24"/>
    <s v="Zapas"/>
    <n v="17474"/>
    <s v="Creditos"/>
    <s v="Gasto"/>
    <s v="En Cuotas"/>
    <n v="6"/>
    <n v="2"/>
    <s v="Gastos del mes debitables"/>
    <n v="2"/>
    <x v="0"/>
    <n v="1"/>
    <m/>
  </r>
  <r>
    <x v="24"/>
    <s v="Prestamo"/>
    <n v="107000"/>
    <s v="Creditos"/>
    <s v="Gasto"/>
    <s v="En Cuotas"/>
    <n v="1"/>
    <n v="1"/>
    <s v="Gastos del mes debitables"/>
    <n v="2"/>
    <x v="0"/>
    <n v="1"/>
    <m/>
  </r>
  <r>
    <x v="24"/>
    <s v="TV"/>
    <n v="44166"/>
    <s v="Creditos"/>
    <s v="Gasto"/>
    <s v="En Cuotas"/>
    <n v="12"/>
    <n v="10"/>
    <s v="Gastos del mes debitables"/>
    <n v="2"/>
    <x v="0"/>
    <n v="1"/>
    <m/>
  </r>
  <r>
    <x v="24"/>
    <s v="Relojes"/>
    <n v="12666"/>
    <s v="Creditos"/>
    <s v="Gasto"/>
    <s v="En Cuotas"/>
    <n v="9"/>
    <n v="9"/>
    <s v="Gastos del mes debitables"/>
    <n v="2"/>
    <x v="0"/>
    <n v="1"/>
    <m/>
  </r>
  <r>
    <x v="24"/>
    <s v="Joystick"/>
    <n v="13570"/>
    <s v="Creditos"/>
    <s v="Gasto"/>
    <s v="Pago Unico"/>
    <n v="5"/>
    <n v="5"/>
    <s v="Gastos del mes debitables"/>
    <n v="2"/>
    <x v="0"/>
    <n v="1"/>
    <m/>
  </r>
  <r>
    <x v="24"/>
    <s v="Gacebo"/>
    <n v="32000"/>
    <s v="Creditos"/>
    <s v="Gasto"/>
    <s v="Pago Unico"/>
    <n v="12"/>
    <n v="4"/>
    <s v="Gastos del mes debitables"/>
    <n v="2"/>
    <x v="0"/>
    <n v="1"/>
    <m/>
  </r>
  <r>
    <x v="24"/>
    <s v="Viaje Estudio"/>
    <n v="70000"/>
    <s v="Juan"/>
    <s v="Gasto"/>
    <s v="En Cuotas"/>
    <n v="12"/>
    <n v="9"/>
    <s v="Gastos del mes debitables"/>
    <n v="2"/>
    <x v="0"/>
    <n v="1"/>
    <m/>
  </r>
  <r>
    <x v="24"/>
    <s v="Monotributo"/>
    <n v="90615"/>
    <s v="Monotributo"/>
    <s v="Gasto"/>
    <s v="Pago Unico"/>
    <m/>
    <m/>
    <s v="Gastos del mes debitables"/>
    <n v="2"/>
    <x v="2"/>
    <n v="3"/>
    <m/>
  </r>
  <r>
    <x v="24"/>
    <s v="Kine"/>
    <n v="42000"/>
    <s v="Salud"/>
    <s v="Gasto"/>
    <s v="Pago Unico"/>
    <m/>
    <m/>
    <s v="Gastos del mes debitables"/>
    <n v="2"/>
    <x v="0"/>
    <n v="1"/>
    <m/>
  </r>
  <r>
    <x v="24"/>
    <s v="Obra Social"/>
    <n v="166413"/>
    <s v="Salud"/>
    <s v="Gasto"/>
    <s v="Pago Unico"/>
    <m/>
    <m/>
    <s v="Gastos del mes debitables"/>
    <n v="2"/>
    <x v="0"/>
    <n v="1"/>
    <m/>
  </r>
  <r>
    <x v="24"/>
    <s v="Xbox"/>
    <n v="9122"/>
    <s v="Subscripción"/>
    <s v="Gasto"/>
    <s v="Pago Unico"/>
    <m/>
    <m/>
    <s v="Gastos del mes debitables"/>
    <n v="2"/>
    <x v="2"/>
    <n v="3"/>
    <m/>
  </r>
  <r>
    <x v="24"/>
    <s v="Spotify"/>
    <n v="2000"/>
    <s v="Subscripción"/>
    <s v="Gasto"/>
    <s v="Pago Unico"/>
    <m/>
    <m/>
    <s v="Gastos del mes debitables"/>
    <n v="2"/>
    <x v="2"/>
    <n v="3"/>
    <m/>
  </r>
  <r>
    <x v="24"/>
    <s v="Google"/>
    <n v="3391"/>
    <s v="Subscripción"/>
    <s v="Gasto"/>
    <s v="Pago Unico"/>
    <m/>
    <m/>
    <s v="Gastos del mes debitables"/>
    <n v="2"/>
    <x v="2"/>
    <n v="3"/>
    <m/>
  </r>
  <r>
    <x v="24"/>
    <s v="Youtube"/>
    <n v="1904"/>
    <s v="Subscripción"/>
    <s v="Gasto"/>
    <s v="Pago Unico"/>
    <m/>
    <m/>
    <s v="Gastos del mes debitables"/>
    <n v="2"/>
    <x v="2"/>
    <n v="3"/>
    <m/>
  </r>
  <r>
    <x v="24"/>
    <s v="Netflix"/>
    <n v="0"/>
    <s v="Subscripción"/>
    <s v="Gasto"/>
    <s v="Pago Unico"/>
    <m/>
    <m/>
    <s v="Gastos del mes debitables"/>
    <n v="2"/>
    <x v="2"/>
    <n v="3"/>
    <m/>
  </r>
  <r>
    <x v="24"/>
    <s v="Max"/>
    <n v="8400"/>
    <s v="Subscripción"/>
    <s v="Gasto"/>
    <s v="Pago Unico"/>
    <m/>
    <m/>
    <s v="Gastos del mes debitables"/>
    <n v="2"/>
    <x v="2"/>
    <n v="3"/>
    <m/>
  </r>
  <r>
    <x v="24"/>
    <s v="Expensas"/>
    <n v="114250"/>
    <s v="Depto"/>
    <s v="Gasto"/>
    <s v="Pago Unico"/>
    <m/>
    <m/>
    <s v="Gastos del mes pagar Papi"/>
    <n v="1"/>
    <x v="2"/>
    <n v="3"/>
    <m/>
  </r>
  <r>
    <x v="24"/>
    <s v="Alquiler"/>
    <n v="164667"/>
    <s v="Depto"/>
    <s v="Gasto"/>
    <s v="Pago Unico"/>
    <m/>
    <m/>
    <s v="Gastos del mes pagar Papi"/>
    <n v="1"/>
    <x v="2"/>
    <n v="3"/>
    <m/>
  </r>
  <r>
    <x v="24"/>
    <s v="CuotaJuan"/>
    <n v="161000"/>
    <s v="Juan"/>
    <s v="Gasto"/>
    <s v="Pago Unico"/>
    <m/>
    <m/>
    <s v="Gastos del mes pagar Papi"/>
    <n v="1"/>
    <x v="2"/>
    <n v="3"/>
    <m/>
  </r>
  <r>
    <x v="24"/>
    <s v="Gym        "/>
    <n v="30000"/>
    <s v="Salud"/>
    <s v="Gasto"/>
    <s v="Pago Unico"/>
    <m/>
    <m/>
    <s v="Gastos del mes pagar Papi"/>
    <n v="1"/>
    <x v="2"/>
    <n v="3"/>
    <m/>
  </r>
  <r>
    <x v="24"/>
    <s v="Internet"/>
    <n v="10000"/>
    <s v="Servicios"/>
    <s v="Gasto"/>
    <s v="Pago Unico"/>
    <m/>
    <m/>
    <s v="Gastos del mes pagar Papi"/>
    <n v="1"/>
    <x v="2"/>
    <n v="3"/>
    <m/>
  </r>
  <r>
    <x v="24"/>
    <s v="Multa"/>
    <n v="44256"/>
    <s v="Servicios"/>
    <s v="Gasto"/>
    <s v="Pago Unico"/>
    <m/>
    <m/>
    <s v="Gastos del mes debitables"/>
    <n v="2"/>
    <x v="0"/>
    <n v="1"/>
    <m/>
  </r>
  <r>
    <x v="24"/>
    <s v="Luz"/>
    <n v="28313"/>
    <s v="Servicios"/>
    <s v="Gasto"/>
    <s v="Pago Unico"/>
    <m/>
    <m/>
    <s v="Gastos del mes pagar Papi"/>
    <n v="1"/>
    <x v="2"/>
    <n v="3"/>
    <m/>
  </r>
  <r>
    <x v="24"/>
    <s v="Bmx"/>
    <n v="55000"/>
    <s v="Juan"/>
    <s v="Gasto"/>
    <s v="Pago Unico"/>
    <m/>
    <m/>
    <s v="Gastos del mes pagar Papi"/>
    <n v="1"/>
    <x v="0"/>
    <n v="1"/>
    <m/>
  </r>
  <r>
    <x v="25"/>
    <s v="Trabajo"/>
    <n v="2439396"/>
    <s v="Ingreso"/>
    <s v="Ingreso"/>
    <s v="Cobro"/>
    <m/>
    <m/>
    <s v="Cobro Mensual"/>
    <n v="4"/>
    <x v="1"/>
    <n v="4"/>
    <m/>
  </r>
  <r>
    <x v="25"/>
    <s v="Beca"/>
    <n v="81645"/>
    <s v="Ingreso"/>
    <s v="Ingreso"/>
    <s v="Cobro"/>
    <m/>
    <m/>
    <s v="Cobro Mensual"/>
    <n v="4"/>
    <x v="1"/>
    <n v="4"/>
    <m/>
  </r>
  <r>
    <x v="25"/>
    <s v="Auto"/>
    <n v="370386"/>
    <s v="Auto"/>
    <s v="Gasto"/>
    <s v="En Cuotas"/>
    <n v="48"/>
    <n v="4"/>
    <s v="Gastos del mes debitables"/>
    <n v="2"/>
    <x v="0"/>
    <n v="1"/>
    <m/>
  </r>
  <r>
    <x v="25"/>
    <s v="Seguro Auto"/>
    <n v="54838"/>
    <s v="Auto"/>
    <s v="Gasto"/>
    <s v="Pago Unico"/>
    <m/>
    <m/>
    <s v="Gastos del mes debitables"/>
    <n v="2"/>
    <x v="0"/>
    <n v="1"/>
    <s v="ok"/>
  </r>
  <r>
    <x v="25"/>
    <s v="Comida Mes"/>
    <n v="240000"/>
    <s v="Comida"/>
    <s v="Gasto"/>
    <s v="Pago Unico"/>
    <m/>
    <m/>
    <s v="Gastos del mes debitables"/>
    <n v="2"/>
    <x v="0"/>
    <n v="1"/>
    <s v="ok"/>
  </r>
  <r>
    <x v="25"/>
    <s v="Super"/>
    <n v="145000"/>
    <s v="Comida"/>
    <s v="Gasto"/>
    <s v="Pago Unico"/>
    <m/>
    <m/>
    <s v="Gastos del mes debitables"/>
    <n v="2"/>
    <x v="0"/>
    <n v="1"/>
    <s v="ok"/>
  </r>
  <r>
    <x v="25"/>
    <s v="Zapas"/>
    <n v="17474"/>
    <s v="Creditos"/>
    <s v="Gasto"/>
    <s v="En Cuotas"/>
    <n v="6"/>
    <n v="3"/>
    <s v="Gastos del mes debitables"/>
    <n v="2"/>
    <x v="0"/>
    <n v="1"/>
    <s v="uala"/>
  </r>
  <r>
    <x v="25"/>
    <s v="TV"/>
    <n v="44166"/>
    <s v="Creditos"/>
    <s v="Gasto"/>
    <s v="En Cuotas"/>
    <n v="12"/>
    <n v="11"/>
    <s v="Gastos del mes debitables"/>
    <n v="2"/>
    <x v="0"/>
    <n v="1"/>
    <s v="nx"/>
  </r>
  <r>
    <x v="25"/>
    <s v="Gacebo"/>
    <n v="32000"/>
    <s v="Creditos"/>
    <s v="Gasto"/>
    <s v="En Cuotas"/>
    <n v="12"/>
    <n v="4"/>
    <s v="Gastos del mes debitables"/>
    <n v="2"/>
    <x v="0"/>
    <n v="1"/>
    <s v="Bl"/>
  </r>
  <r>
    <x v="25"/>
    <s v="Viaje Estudio"/>
    <n v="70000"/>
    <s v="Juan"/>
    <s v="Gasto"/>
    <s v="En Cuotas"/>
    <n v="12"/>
    <n v="10"/>
    <s v="Gastos del mes debitables"/>
    <n v="2"/>
    <x v="0"/>
    <n v="1"/>
    <s v="ok"/>
  </r>
  <r>
    <x v="25"/>
    <s v="Monotributo"/>
    <n v="90615"/>
    <s v="Monotributo"/>
    <s v="Gasto"/>
    <s v="Pago Unico"/>
    <m/>
    <m/>
    <s v="Gastos del mes debitables"/>
    <n v="2"/>
    <x v="0"/>
    <n v="1"/>
    <m/>
  </r>
  <r>
    <x v="25"/>
    <s v="Kine"/>
    <n v="50000"/>
    <s v="Salud"/>
    <s v="Gasto"/>
    <s v="Pago Unico"/>
    <m/>
    <m/>
    <s v="Gastos del mes debitables"/>
    <n v="2"/>
    <x v="0"/>
    <n v="1"/>
    <s v="ok"/>
  </r>
  <r>
    <x v="25"/>
    <s v="Obra Social"/>
    <n v="171560"/>
    <s v="Salud"/>
    <s v="Gasto"/>
    <s v="Pago Unico"/>
    <m/>
    <m/>
    <s v="Gastos del mes debitables"/>
    <n v="2"/>
    <x v="0"/>
    <n v="1"/>
    <s v="ok"/>
  </r>
  <r>
    <x v="25"/>
    <s v="Xbox"/>
    <n v="19122"/>
    <s v="Subscripción"/>
    <s v="Gasto"/>
    <s v="Pago Unico"/>
    <m/>
    <m/>
    <s v="Gastos del mes debitables"/>
    <n v="2"/>
    <x v="0"/>
    <n v="1"/>
    <s v="ok"/>
  </r>
  <r>
    <x v="25"/>
    <s v="Spotify"/>
    <n v="2000"/>
    <s v="Subscripción"/>
    <s v="Gasto"/>
    <s v="Pago Unico"/>
    <m/>
    <m/>
    <s v="Gastos del mes debitables"/>
    <n v="2"/>
    <x v="0"/>
    <n v="1"/>
    <s v="ok"/>
  </r>
  <r>
    <x v="25"/>
    <s v="Google"/>
    <n v="3391"/>
    <s v="Subscripción"/>
    <s v="Gasto"/>
    <s v="Pago Unico"/>
    <m/>
    <m/>
    <s v="Gastos del mes debitables"/>
    <n v="2"/>
    <x v="0"/>
    <n v="1"/>
    <s v="ok"/>
  </r>
  <r>
    <x v="25"/>
    <s v="Youtube"/>
    <n v="1904"/>
    <s v="Subscripción"/>
    <s v="Gasto"/>
    <s v="Pago Unico"/>
    <m/>
    <m/>
    <s v="Gastos del mes debitables"/>
    <n v="2"/>
    <x v="0"/>
    <n v="1"/>
    <s v="ok"/>
  </r>
  <r>
    <x v="25"/>
    <s v="Netflix"/>
    <n v="0"/>
    <s v="Subscripción"/>
    <s v="Gasto"/>
    <s v="Pago Unico"/>
    <m/>
    <m/>
    <s v="Gastos del mes debitables"/>
    <n v="2"/>
    <x v="0"/>
    <n v="1"/>
    <s v="ok"/>
  </r>
  <r>
    <x v="25"/>
    <s v="Max"/>
    <n v="0"/>
    <s v="Subscripción"/>
    <s v="Gasto"/>
    <s v="Pago Unico"/>
    <m/>
    <m/>
    <s v="Gastos del mes debitables"/>
    <n v="2"/>
    <x v="0"/>
    <n v="1"/>
    <s v="ok"/>
  </r>
  <r>
    <x v="25"/>
    <s v="Expensas"/>
    <n v="114250"/>
    <s v="Depto"/>
    <s v="Gasto"/>
    <s v="Pago Unico"/>
    <m/>
    <m/>
    <s v="Gastos del mes pagar Papi"/>
    <n v="1"/>
    <x v="0"/>
    <n v="1"/>
    <s v="ok"/>
  </r>
  <r>
    <x v="25"/>
    <s v="Alquiler"/>
    <n v="164667"/>
    <s v="Depto"/>
    <s v="Gasto"/>
    <s v="Pago Unico"/>
    <m/>
    <m/>
    <s v="Gastos del mes pagar Papi"/>
    <n v="1"/>
    <x v="0"/>
    <n v="1"/>
    <s v="ok"/>
  </r>
  <r>
    <x v="25"/>
    <s v="CuotaJuan"/>
    <n v="170500"/>
    <s v="Juan"/>
    <s v="Gasto"/>
    <s v="Pago Unico"/>
    <m/>
    <m/>
    <s v="Gastos del mes pagar Papi"/>
    <n v="1"/>
    <x v="0"/>
    <n v="1"/>
    <s v="ok"/>
  </r>
  <r>
    <x v="25"/>
    <s v="Gym        "/>
    <n v="37500"/>
    <s v="Salud"/>
    <s v="Gasto"/>
    <s v="Pago Unico"/>
    <m/>
    <m/>
    <s v="Gastos del mes pagar Papi"/>
    <n v="1"/>
    <x v="0"/>
    <n v="1"/>
    <s v="ok"/>
  </r>
  <r>
    <x v="25"/>
    <s v="Internet"/>
    <n v="10000"/>
    <s v="Servicios"/>
    <s v="Gasto"/>
    <s v="Pago Unico"/>
    <m/>
    <m/>
    <s v="Gastos del mes pagar Papi"/>
    <n v="1"/>
    <x v="0"/>
    <n v="1"/>
    <s v="ok"/>
  </r>
  <r>
    <x v="25"/>
    <s v="Multa"/>
    <n v="44256"/>
    <s v="Servicios"/>
    <s v="Gasto"/>
    <s v="En Cuotas"/>
    <n v="3"/>
    <n v="2"/>
    <s v="Gastos del mes debitables"/>
    <n v="2"/>
    <x v="0"/>
    <n v="1"/>
    <s v="nx"/>
  </r>
  <r>
    <x v="25"/>
    <s v="Luz"/>
    <n v="28313"/>
    <s v="Servicios"/>
    <s v="Gasto"/>
    <s v="Pago Unico"/>
    <m/>
    <m/>
    <s v="Gastos del mes pagar Papi"/>
    <n v="1"/>
    <x v="0"/>
    <n v="1"/>
    <s v="ok"/>
  </r>
  <r>
    <x v="25"/>
    <s v="Bmx"/>
    <n v="40000"/>
    <s v="Juan"/>
    <s v="Gasto"/>
    <s v="Pago Unico"/>
    <m/>
    <m/>
    <s v="Gastos del mes debitables"/>
    <n v="2"/>
    <x v="0"/>
    <n v="1"/>
    <s v="ok"/>
  </r>
  <r>
    <x v="25"/>
    <s v="Cancha"/>
    <n v="40000"/>
    <s v="Creditos"/>
    <s v="Gasto"/>
    <s v="Pago Unico"/>
    <m/>
    <m/>
    <s v="Gastos del mes debitables"/>
    <n v="2"/>
    <x v="0"/>
    <n v="1"/>
    <s v="uala"/>
  </r>
  <r>
    <x v="25"/>
    <s v="Campera"/>
    <n v="23666"/>
    <s v="Creditos"/>
    <s v="Gasto"/>
    <s v="En Cuotas"/>
    <n v="6"/>
    <n v="1"/>
    <s v="Gastos del mes pagar Papi"/>
    <n v="1"/>
    <x v="0"/>
    <n v="1"/>
    <s v="ok"/>
  </r>
  <r>
    <x v="25"/>
    <s v="Credito"/>
    <n v="143484"/>
    <s v="Creditos"/>
    <s v="Gasto"/>
    <s v="Pago Unico"/>
    <m/>
    <m/>
    <s v="Gastos del mes debitables"/>
    <n v="2"/>
    <x v="0"/>
    <n v="1"/>
    <s v="ML"/>
  </r>
  <r>
    <x v="25"/>
    <s v="Cochera"/>
    <n v="92575"/>
    <s v="Auto"/>
    <s v="Gasto"/>
    <s v="En Cuotas"/>
    <m/>
    <m/>
    <s v="Gastos del mes debitables"/>
    <n v="2"/>
    <x v="0"/>
    <n v="1"/>
    <s v="ok"/>
  </r>
  <r>
    <x v="25"/>
    <s v="Ike"/>
    <n v="18200"/>
    <s v="Servicios"/>
    <s v="Gasto"/>
    <s v="Pago Unico"/>
    <m/>
    <m/>
    <s v="Gastos del mes debitables"/>
    <n v="2"/>
    <x v="0"/>
    <n v="1"/>
    <s v="nx"/>
  </r>
  <r>
    <x v="25"/>
    <s v="Gorra"/>
    <n v="34522"/>
    <s v="Creditos"/>
    <s v="Gasto"/>
    <s v="Pago Unico"/>
    <m/>
    <m/>
    <s v="Gastos del mes debitables"/>
    <n v="2"/>
    <x v="0"/>
    <n v="1"/>
    <s v="ML"/>
  </r>
  <r>
    <x v="26"/>
    <s v="Trabajo"/>
    <n v="2354442.2000000002"/>
    <s v="Ingreso"/>
    <s v="Ingreso"/>
    <s v="Cobro"/>
    <m/>
    <m/>
    <s v="Cobro Mensual"/>
    <n v="4"/>
    <x v="1"/>
    <n v="4"/>
    <m/>
  </r>
  <r>
    <x v="26"/>
    <s v="Beca"/>
    <n v="81645"/>
    <s v="Ingreso"/>
    <s v="Ingreso"/>
    <s v="Cobro"/>
    <m/>
    <m/>
    <s v="Cobro Mensual"/>
    <n v="4"/>
    <x v="1"/>
    <n v="4"/>
    <m/>
  </r>
  <r>
    <x v="26"/>
    <s v="Auto"/>
    <n v="250000"/>
    <s v="Auto"/>
    <s v="Gasto"/>
    <s v="En Cuotas"/>
    <n v="48"/>
    <n v="4"/>
    <s v="Gastos del mes debitables"/>
    <n v="2"/>
    <x v="2"/>
    <n v="3"/>
    <m/>
  </r>
  <r>
    <x v="26"/>
    <s v="Seguro Auto"/>
    <n v="54838"/>
    <s v="Auto"/>
    <s v="Gasto"/>
    <s v="Pago Unico"/>
    <m/>
    <m/>
    <s v="Gastos del mes debitables"/>
    <n v="2"/>
    <x v="0"/>
    <n v="1"/>
    <s v="uala"/>
  </r>
  <r>
    <x v="26"/>
    <s v="Comida Mes"/>
    <n v="240000"/>
    <s v="Comida"/>
    <s v="Gasto"/>
    <s v="Pago Unico"/>
    <m/>
    <m/>
    <s v="Gastos del mes debitables"/>
    <n v="2"/>
    <x v="0"/>
    <n v="1"/>
    <m/>
  </r>
  <r>
    <x v="26"/>
    <s v="Super"/>
    <n v="145000"/>
    <s v="Comida"/>
    <s v="Gasto"/>
    <s v="Pago Unico"/>
    <m/>
    <m/>
    <s v="Gastos del mes debitables"/>
    <n v="2"/>
    <x v="0"/>
    <n v="1"/>
    <m/>
  </r>
  <r>
    <x v="26"/>
    <s v="Zapas"/>
    <n v="17474"/>
    <s v="Creditos"/>
    <s v="Gasto"/>
    <s v="En Cuotas"/>
    <n v="6"/>
    <n v="4"/>
    <s v="Gastos del mes debitables"/>
    <n v="2"/>
    <x v="0"/>
    <n v="1"/>
    <s v="uala"/>
  </r>
  <r>
    <x v="26"/>
    <s v="TV"/>
    <n v="44166"/>
    <s v="Creditos"/>
    <s v="Gasto"/>
    <s v="En Cuotas"/>
    <n v="12"/>
    <n v="12"/>
    <s v="Gastos del mes debitables"/>
    <n v="2"/>
    <x v="0"/>
    <n v="1"/>
    <s v="nx"/>
  </r>
  <r>
    <x v="26"/>
    <s v="Gacebo"/>
    <n v="32000"/>
    <s v="Creditos"/>
    <s v="Gasto"/>
    <s v="En Cuotas"/>
    <n v="12"/>
    <n v="5"/>
    <s v="Gastos del mes debitables"/>
    <n v="2"/>
    <x v="0"/>
    <n v="1"/>
    <s v="Fleco"/>
  </r>
  <r>
    <x v="26"/>
    <s v="Viaje Estudio"/>
    <n v="70000"/>
    <s v="Juan"/>
    <s v="Gasto"/>
    <s v="En Cuotas"/>
    <n v="12"/>
    <n v="11"/>
    <s v="Gastos del mes debitables"/>
    <n v="2"/>
    <x v="0"/>
    <n v="1"/>
    <s v="nx"/>
  </r>
  <r>
    <x v="26"/>
    <s v="Monotributo"/>
    <n v="103561"/>
    <s v="Monotributo"/>
    <s v="Gasto"/>
    <s v="Pago Unico"/>
    <m/>
    <m/>
    <s v="Gastos del mes debitables"/>
    <n v="2"/>
    <x v="2"/>
    <n v="3"/>
    <m/>
  </r>
  <r>
    <x v="26"/>
    <s v="Kine"/>
    <m/>
    <s v="Salud"/>
    <s v="Gasto"/>
    <s v="Pago Unico"/>
    <m/>
    <m/>
    <s v="Gastos del mes debitables"/>
    <n v="2"/>
    <x v="0"/>
    <n v="1"/>
    <m/>
  </r>
  <r>
    <x v="26"/>
    <s v="Obra Social"/>
    <n v="171560"/>
    <s v="Salud"/>
    <s v="Gasto"/>
    <s v="Pago Unico"/>
    <m/>
    <m/>
    <s v="Gastos del mes debitables"/>
    <n v="2"/>
    <x v="2"/>
    <n v="3"/>
    <m/>
  </r>
  <r>
    <x v="26"/>
    <s v="Xbox"/>
    <n v="19122"/>
    <s v="Subscripción"/>
    <s v="Gasto"/>
    <s v="Pago Unico"/>
    <m/>
    <m/>
    <s v="Gastos del mes debitables"/>
    <n v="2"/>
    <x v="2"/>
    <n v="3"/>
    <m/>
  </r>
  <r>
    <x v="26"/>
    <s v="Spotify"/>
    <n v="2000"/>
    <s v="Subscripción"/>
    <s v="Gasto"/>
    <s v="Pago Unico"/>
    <m/>
    <m/>
    <s v="Gastos del mes debitables"/>
    <n v="2"/>
    <x v="2"/>
    <n v="3"/>
    <m/>
  </r>
  <r>
    <x v="26"/>
    <s v="Google"/>
    <n v="3391"/>
    <s v="Subscripción"/>
    <s v="Gasto"/>
    <s v="Pago Unico"/>
    <m/>
    <m/>
    <s v="Gastos del mes debitables"/>
    <n v="2"/>
    <x v="2"/>
    <n v="3"/>
    <m/>
  </r>
  <r>
    <x v="26"/>
    <s v="Youtube"/>
    <n v="1904"/>
    <s v="Subscripción"/>
    <s v="Gasto"/>
    <s v="Pago Unico"/>
    <m/>
    <m/>
    <s v="Gastos del mes debitables"/>
    <n v="2"/>
    <x v="2"/>
    <n v="3"/>
    <m/>
  </r>
  <r>
    <x v="26"/>
    <s v="Netflix"/>
    <n v="0"/>
    <s v="Subscripción"/>
    <s v="Gasto"/>
    <s v="Pago Unico"/>
    <m/>
    <m/>
    <s v="Gastos del mes debitables"/>
    <n v="2"/>
    <x v="2"/>
    <n v="3"/>
    <m/>
  </r>
  <r>
    <x v="26"/>
    <s v="Max"/>
    <n v="9800"/>
    <s v="Subscripción"/>
    <s v="Gasto"/>
    <s v="Pago Unico"/>
    <m/>
    <m/>
    <s v="Gastos del mes debitables"/>
    <n v="2"/>
    <x v="2"/>
    <n v="3"/>
    <m/>
  </r>
  <r>
    <x v="26"/>
    <s v="Expensas"/>
    <n v="114250"/>
    <s v="Depto"/>
    <s v="Gasto"/>
    <s v="Pago Unico"/>
    <m/>
    <m/>
    <s v="Gastos del mes pagar Papi"/>
    <n v="1"/>
    <x v="2"/>
    <n v="3"/>
    <m/>
  </r>
  <r>
    <x v="26"/>
    <s v="Alquiler"/>
    <n v="164667"/>
    <s v="Depto"/>
    <s v="Gasto"/>
    <s v="Pago Unico"/>
    <m/>
    <m/>
    <s v="Gastos del mes pagar Papi"/>
    <n v="1"/>
    <x v="2"/>
    <n v="3"/>
    <m/>
  </r>
  <r>
    <x v="26"/>
    <s v="CuotaJuan"/>
    <n v="170500"/>
    <s v="Juan"/>
    <s v="Gasto"/>
    <s v="Pago Unico"/>
    <m/>
    <m/>
    <s v="Gastos del mes pagar Papi"/>
    <n v="1"/>
    <x v="2"/>
    <n v="3"/>
    <m/>
  </r>
  <r>
    <x v="26"/>
    <s v="Gym        "/>
    <n v="37500"/>
    <s v="Salud"/>
    <s v="Gasto"/>
    <s v="Pago Unico"/>
    <m/>
    <m/>
    <s v="Gastos del mes pagar Papi"/>
    <n v="1"/>
    <x v="2"/>
    <n v="3"/>
    <m/>
  </r>
  <r>
    <x v="26"/>
    <s v="Internet"/>
    <n v="10000"/>
    <s v="Servicios"/>
    <s v="Gasto"/>
    <s v="Pago Unico"/>
    <m/>
    <m/>
    <s v="Gastos del mes pagar Papi"/>
    <n v="1"/>
    <x v="2"/>
    <n v="3"/>
    <m/>
  </r>
  <r>
    <x v="26"/>
    <s v="Multa"/>
    <n v="44256"/>
    <s v="Servicios"/>
    <s v="Gasto"/>
    <s v="En Cuotas"/>
    <n v="3"/>
    <n v="3"/>
    <s v="Gastos del mes debitables"/>
    <n v="2"/>
    <x v="0"/>
    <n v="1"/>
    <s v="nx"/>
  </r>
  <r>
    <x v="26"/>
    <s v="Luz"/>
    <n v="28313"/>
    <s v="Servicios"/>
    <s v="Gasto"/>
    <s v="Pago Unico"/>
    <m/>
    <m/>
    <s v="Gastos del mes pagar Papi"/>
    <n v="1"/>
    <x v="2"/>
    <n v="3"/>
    <m/>
  </r>
  <r>
    <x v="26"/>
    <s v="Bmx"/>
    <n v="40000"/>
    <s v="Juan"/>
    <s v="Gasto"/>
    <s v="Pago Unico"/>
    <m/>
    <m/>
    <s v="Gastos del mes debitables"/>
    <n v="2"/>
    <x v="0"/>
    <n v="1"/>
    <m/>
  </r>
  <r>
    <x v="26"/>
    <s v="Campera"/>
    <n v="23666"/>
    <s v="Creditos"/>
    <s v="Gasto"/>
    <s v="En Cuotas"/>
    <n v="6"/>
    <n v="2"/>
    <s v="Gastos del mes pagar Papi"/>
    <n v="1"/>
    <x v="2"/>
    <n v="3"/>
    <m/>
  </r>
  <r>
    <x v="26"/>
    <s v="Gorra"/>
    <n v="18322"/>
    <s v="Creditos"/>
    <s v="Gasto"/>
    <s v="En Cuotas"/>
    <n v="2"/>
    <n v="3"/>
    <s v="Gastos del mes debitables"/>
    <n v="2"/>
    <x v="0"/>
    <n v="1"/>
    <s v="ML"/>
  </r>
  <r>
    <x v="26"/>
    <s v="Transf"/>
    <n v="16200"/>
    <s v="Creditos"/>
    <s v="Gasto"/>
    <s v="En Cuotas"/>
    <n v="1"/>
    <n v="1"/>
    <s v="Gastos del mes debitables"/>
    <n v="2"/>
    <x v="0"/>
    <n v="1"/>
    <s v="ML"/>
  </r>
  <r>
    <x v="26"/>
    <s v="Nafta"/>
    <n v="74193"/>
    <s v="Creditos"/>
    <s v="Gasto"/>
    <s v="En Cuotas"/>
    <n v="1"/>
    <n v="1"/>
    <s v="Gastos del mes debitables"/>
    <n v="2"/>
    <x v="0"/>
    <n v="1"/>
    <s v="ML"/>
  </r>
  <r>
    <x v="26"/>
    <s v="Aceite"/>
    <n v="18579"/>
    <s v="Creditos"/>
    <s v="Gasto"/>
    <s v="En Cuotas"/>
    <n v="1"/>
    <n v="3"/>
    <s v="Gastos del mes debitables"/>
    <n v="2"/>
    <x v="0"/>
    <n v="1"/>
    <s v="ML"/>
  </r>
  <r>
    <x v="26"/>
    <s v="Transf"/>
    <n v="10370"/>
    <s v="Creditos"/>
    <s v="Gasto"/>
    <s v="En Cuotas"/>
    <n v="1"/>
    <n v="1"/>
    <s v="Gastos del mes debitables"/>
    <n v="2"/>
    <x v="0"/>
    <n v="1"/>
    <s v="ML"/>
  </r>
  <r>
    <x v="26"/>
    <s v="Libro"/>
    <n v="18814"/>
    <s v="Creditos"/>
    <s v="Gasto"/>
    <s v="En Cuotas"/>
    <n v="1"/>
    <n v="3"/>
    <s v="Gastos del mes debitables"/>
    <n v="2"/>
    <x v="0"/>
    <n v="1"/>
    <s v="ML"/>
  </r>
  <r>
    <x v="26"/>
    <s v="Ike"/>
    <n v="18200"/>
    <s v="Creditos"/>
    <s v="Gasto"/>
    <s v="Pago Unico"/>
    <m/>
    <m/>
    <s v="Gastos del mes debitables"/>
    <n v="2"/>
    <x v="0"/>
    <n v="1"/>
    <s v="nx"/>
  </r>
  <r>
    <x v="26"/>
    <s v="Regalo Fleco"/>
    <n v="53689"/>
    <s v="Creditos"/>
    <s v="Gasto"/>
    <s v="Pago Unico"/>
    <m/>
    <m/>
    <s v="Gastos variables del mes a pagar"/>
    <n v="3"/>
    <x v="0"/>
    <n v="1"/>
    <m/>
  </r>
  <r>
    <x v="26"/>
    <s v="Cochera"/>
    <n v="92575"/>
    <s v="Auto"/>
    <s v="Gasto"/>
    <s v="Pago Unico"/>
    <m/>
    <m/>
    <s v="Gastos del mes debitables"/>
    <n v="2"/>
    <x v="0"/>
    <n v="1"/>
    <m/>
  </r>
  <r>
    <x v="27"/>
    <s v="Trabajo"/>
    <n v="2482167"/>
    <s v="Ingreso"/>
    <s v="Ingreso"/>
    <s v="Cobro"/>
    <m/>
    <m/>
    <s v="Cobro Mensual"/>
    <n v="4"/>
    <x v="1"/>
    <n v="4"/>
    <m/>
  </r>
  <r>
    <x v="27"/>
    <s v="Beca"/>
    <n v="81645"/>
    <s v="Ingreso"/>
    <s v="Ingreso"/>
    <s v="Cobro"/>
    <m/>
    <m/>
    <s v="Cobro Mensual"/>
    <n v="4"/>
    <x v="1"/>
    <n v="4"/>
    <m/>
  </r>
  <r>
    <x v="27"/>
    <s v="Auto"/>
    <n v="370386"/>
    <s v="Auto"/>
    <s v="Gasto"/>
    <s v="En Cuotas"/>
    <n v="48"/>
    <n v="4"/>
    <s v="Gastos del mes debitables"/>
    <n v="2"/>
    <x v="0"/>
    <n v="1"/>
    <s v="Papi"/>
  </r>
  <r>
    <x v="27"/>
    <s v="Zapas"/>
    <n v="15088"/>
    <s v="Creditos"/>
    <s v="Gasto"/>
    <s v="En Cuotas"/>
    <n v="6"/>
    <n v="5"/>
    <s v="Gastos del mes debitables"/>
    <n v="2"/>
    <x v="0"/>
    <n v="1"/>
    <s v="uala"/>
  </r>
  <r>
    <x v="27"/>
    <s v="Gacebo"/>
    <n v="32000"/>
    <s v="Creditos"/>
    <s v="Gasto"/>
    <s v="En Cuotas"/>
    <n v="12"/>
    <n v="6"/>
    <s v="Gastos del mes debitables"/>
    <n v="2"/>
    <x v="0"/>
    <n v="1"/>
    <s v="Fleco"/>
  </r>
  <r>
    <x v="27"/>
    <s v="Viaje Estudio"/>
    <n v="70000"/>
    <s v="Juan"/>
    <s v="Gasto"/>
    <s v="En Cuotas"/>
    <n v="12"/>
    <n v="12"/>
    <s v="Gastos del mes debitables"/>
    <n v="2"/>
    <x v="0"/>
    <n v="1"/>
    <m/>
  </r>
  <r>
    <x v="27"/>
    <s v="Gorra"/>
    <n v="18000"/>
    <s v="Creditos"/>
    <s v="Gasto"/>
    <s v="En Cuotas"/>
    <n v="3"/>
    <n v="3"/>
    <s v="Gastos del mes debitables"/>
    <n v="2"/>
    <x v="0"/>
    <n v="1"/>
    <s v="ML"/>
  </r>
  <r>
    <x v="27"/>
    <s v="Aceite"/>
    <n v="18600"/>
    <s v="Creditos"/>
    <s v="Gasto"/>
    <s v="En Cuotas"/>
    <n v="2"/>
    <n v="3"/>
    <s v="Gastos del mes debitables"/>
    <n v="2"/>
    <x v="0"/>
    <n v="1"/>
    <s v="ML"/>
  </r>
  <r>
    <x v="27"/>
    <s v="Libro"/>
    <n v="18900"/>
    <s v="Creditos"/>
    <s v="Gasto"/>
    <s v="En Cuotas"/>
    <n v="2"/>
    <n v="3"/>
    <s v="Gastos del mes debitables"/>
    <n v="2"/>
    <x v="0"/>
    <n v="1"/>
    <s v="ML"/>
  </r>
  <r>
    <x v="27"/>
    <s v="Transf"/>
    <n v="5400"/>
    <s v="Creditos"/>
    <s v="Gasto"/>
    <s v="En Cuotas"/>
    <n v="1"/>
    <n v="1"/>
    <s v="Gastos del mes debitables"/>
    <n v="2"/>
    <x v="0"/>
    <n v="1"/>
    <s v="ML"/>
  </r>
  <r>
    <x v="27"/>
    <s v="Proteina"/>
    <n v="55000"/>
    <s v="Creditos"/>
    <s v="Gasto"/>
    <s v="En Cuotas"/>
    <n v="1"/>
    <n v="1"/>
    <s v="Gastos del mes debitables"/>
    <n v="2"/>
    <x v="0"/>
    <n v="1"/>
    <s v="ML"/>
  </r>
  <r>
    <x v="27"/>
    <s v="Parlante"/>
    <n v="32000"/>
    <s v="Creditos"/>
    <s v="Gasto"/>
    <s v="En Cuotas"/>
    <n v="1"/>
    <n v="1"/>
    <s v="Gastos del mes debitables"/>
    <n v="2"/>
    <x v="0"/>
    <n v="1"/>
    <s v="ML"/>
  </r>
  <r>
    <x v="27"/>
    <s v="Cochera"/>
    <n v="92000"/>
    <s v="Auto"/>
    <s v="Gasto"/>
    <s v="Pago Unico"/>
    <m/>
    <m/>
    <s v="Gastos del mes debitables"/>
    <n v="2"/>
    <x v="3"/>
    <n v="2"/>
    <m/>
  </r>
  <r>
    <x v="27"/>
    <s v="Seguro Auto"/>
    <n v="54838"/>
    <s v="Auto"/>
    <s v="Gasto"/>
    <s v="Pago Unico"/>
    <m/>
    <m/>
    <s v="Gastos del mes debitables"/>
    <n v="2"/>
    <x v="0"/>
    <n v="1"/>
    <m/>
  </r>
  <r>
    <x v="27"/>
    <s v="Comida Mes"/>
    <n v="240000"/>
    <s v="Comida"/>
    <s v="Gasto"/>
    <s v="Pago Unico"/>
    <m/>
    <m/>
    <s v="Gastos del mes debitables"/>
    <n v="2"/>
    <x v="0"/>
    <n v="1"/>
    <m/>
  </r>
  <r>
    <x v="27"/>
    <s v="Super"/>
    <n v="145000"/>
    <s v="Comida"/>
    <s v="Gasto"/>
    <s v="Pago Unico"/>
    <m/>
    <m/>
    <s v="Gastos del mes debitables"/>
    <n v="2"/>
    <x v="0"/>
    <n v="1"/>
    <m/>
  </r>
  <r>
    <x v="27"/>
    <s v="Monotributo"/>
    <n v="132000"/>
    <s v="Monotributo"/>
    <s v="Gasto"/>
    <s v="Pago Unico"/>
    <m/>
    <m/>
    <s v="Gastos del mes debitables"/>
    <n v="2"/>
    <x v="2"/>
    <n v="3"/>
    <m/>
  </r>
  <r>
    <x v="27"/>
    <s v="Cuota Bmx"/>
    <n v="34000"/>
    <s v="Salud"/>
    <s v="Gasto"/>
    <s v="Pago Unico"/>
    <m/>
    <m/>
    <s v="Gastos del mes debitables"/>
    <n v="2"/>
    <x v="2"/>
    <n v="3"/>
    <m/>
  </r>
  <r>
    <x v="27"/>
    <s v="Obra Social"/>
    <n v="216000"/>
    <s v="Salud"/>
    <s v="Gasto"/>
    <s v="Pago Unico"/>
    <m/>
    <m/>
    <s v="Gastos del mes debitables"/>
    <n v="2"/>
    <x v="0"/>
    <n v="1"/>
    <m/>
  </r>
  <r>
    <x v="27"/>
    <s v="Xbox"/>
    <n v="19122"/>
    <s v="Subscripción"/>
    <s v="Gasto"/>
    <s v="Pago Unico"/>
    <m/>
    <m/>
    <s v="Gastos del mes debitables"/>
    <n v="2"/>
    <x v="2"/>
    <n v="3"/>
    <m/>
  </r>
  <r>
    <x v="27"/>
    <s v="Spotify"/>
    <n v="2000"/>
    <s v="Subscripción"/>
    <s v="Gasto"/>
    <s v="Pago Unico"/>
    <m/>
    <m/>
    <s v="Gastos del mes debitables"/>
    <n v="2"/>
    <x v="2"/>
    <n v="3"/>
    <m/>
  </r>
  <r>
    <x v="27"/>
    <s v="Google"/>
    <n v="3391"/>
    <s v="Subscripción"/>
    <s v="Gasto"/>
    <s v="Pago Unico"/>
    <m/>
    <m/>
    <s v="Gastos del mes debitables"/>
    <n v="2"/>
    <x v="2"/>
    <n v="3"/>
    <m/>
  </r>
  <r>
    <x v="27"/>
    <s v="Youtube"/>
    <n v="1904"/>
    <s v="Subscripción"/>
    <s v="Gasto"/>
    <s v="Pago Unico"/>
    <m/>
    <m/>
    <s v="Gastos del mes debitables"/>
    <n v="2"/>
    <x v="2"/>
    <n v="3"/>
    <m/>
  </r>
  <r>
    <x v="27"/>
    <s v="Netflix"/>
    <n v="0"/>
    <s v="Subscripción"/>
    <s v="Gasto"/>
    <s v="Pago Unico"/>
    <m/>
    <m/>
    <s v="Gastos del mes debitables"/>
    <n v="2"/>
    <x v="2"/>
    <n v="3"/>
    <m/>
  </r>
  <r>
    <x v="27"/>
    <s v="Max"/>
    <n v="8900"/>
    <s v="Subscripción"/>
    <s v="Gasto"/>
    <s v="Pago Unico"/>
    <m/>
    <m/>
    <s v="Gastos del mes debitables"/>
    <n v="2"/>
    <x v="2"/>
    <n v="3"/>
    <m/>
  </r>
  <r>
    <x v="27"/>
    <s v="Bmx"/>
    <n v="40000"/>
    <s v="Juan"/>
    <s v="Gasto"/>
    <s v="Pago Unico"/>
    <m/>
    <m/>
    <s v="Gastos del mes debitables"/>
    <n v="2"/>
    <x v="0"/>
    <n v="1"/>
    <m/>
  </r>
  <r>
    <x v="27"/>
    <s v="Campera"/>
    <n v="23666"/>
    <s v="Creditos"/>
    <s v="Gasto"/>
    <s v="En Cuotas"/>
    <n v="6"/>
    <n v="3"/>
    <s v="Gastos del mes pagar Papi"/>
    <n v="1"/>
    <x v="2"/>
    <n v="3"/>
    <s v="Papi"/>
  </r>
  <r>
    <x v="27"/>
    <s v="Expensas"/>
    <n v="114250"/>
    <s v="Depto"/>
    <s v="Gasto"/>
    <s v="Pago Unico"/>
    <m/>
    <m/>
    <s v="Gastos del mes pagar Papi"/>
    <n v="1"/>
    <x v="2"/>
    <n v="3"/>
    <m/>
  </r>
  <r>
    <x v="27"/>
    <s v="Alquiler"/>
    <n v="164667"/>
    <s v="Depto"/>
    <s v="Gasto"/>
    <s v="Pago Unico"/>
    <m/>
    <m/>
    <s v="Gastos del mes pagar Papi"/>
    <n v="1"/>
    <x v="2"/>
    <n v="3"/>
    <m/>
  </r>
  <r>
    <x v="27"/>
    <s v="CuotaJuan"/>
    <n v="175000"/>
    <s v="Juan"/>
    <s v="Gasto"/>
    <s v="Pago Unico"/>
    <m/>
    <m/>
    <s v="Gastos del mes pagar Papi"/>
    <n v="1"/>
    <x v="2"/>
    <n v="3"/>
    <m/>
  </r>
  <r>
    <x v="27"/>
    <s v="Gym        "/>
    <n v="37500"/>
    <s v="Salud"/>
    <s v="Gasto"/>
    <s v="Pago Unico"/>
    <m/>
    <m/>
    <s v="Gastos del mes pagar Papi"/>
    <n v="1"/>
    <x v="2"/>
    <n v="3"/>
    <m/>
  </r>
  <r>
    <x v="27"/>
    <s v="Internet"/>
    <n v="10000"/>
    <s v="Servicios"/>
    <s v="Gasto"/>
    <s v="Pago Unico"/>
    <m/>
    <m/>
    <s v="Gastos del mes pagar Papi"/>
    <n v="1"/>
    <x v="2"/>
    <n v="3"/>
    <m/>
  </r>
  <r>
    <x v="27"/>
    <s v="Luz"/>
    <n v="28313"/>
    <s v="Servicios"/>
    <s v="Gasto"/>
    <s v="Pago Unico"/>
    <m/>
    <m/>
    <s v="Gastos del mes pagar Papi"/>
    <n v="1"/>
    <x v="2"/>
    <n v="3"/>
    <m/>
  </r>
  <r>
    <x v="27"/>
    <s v="Carrera"/>
    <n v="122000"/>
    <s v="Juan"/>
    <s v="Gasto"/>
    <s v="Pago Unico"/>
    <m/>
    <m/>
    <s v="Gastos del mes pagar Papi"/>
    <n v="1"/>
    <x v="2"/>
    <n v="3"/>
    <m/>
  </r>
  <r>
    <x v="26"/>
    <s v="Carrera"/>
    <n v="54000"/>
    <s v="Juan"/>
    <s v="Gasto"/>
    <s v="Pago Unico"/>
    <m/>
    <m/>
    <s v="Gastos del mes pagar Papi"/>
    <n v="1"/>
    <x v="3"/>
    <n v="2"/>
    <m/>
  </r>
  <r>
    <x v="28"/>
    <s v="Nafta"/>
    <n v="42739"/>
    <s v="Auto"/>
    <s v="Gasto"/>
    <s v="Pago Unico"/>
    <m/>
    <m/>
    <s v="Gastos del mes debitables"/>
    <n v="2"/>
    <x v="0"/>
    <n v="1"/>
    <s v="ML"/>
  </r>
  <r>
    <x v="28"/>
    <s v="Cochera"/>
    <n v="101807"/>
    <s v="Auto"/>
    <s v="Gasto"/>
    <s v="Pago Unico"/>
    <m/>
    <m/>
    <s v="Gastos del mes debitables"/>
    <n v="2"/>
    <x v="3"/>
    <n v="2"/>
    <m/>
  </r>
  <r>
    <x v="28"/>
    <s v="Seguro Auto"/>
    <n v="54838"/>
    <s v="Auto"/>
    <s v="Gasto"/>
    <s v="Pago Unico"/>
    <m/>
    <m/>
    <s v="Gastos del mes debitables"/>
    <n v="2"/>
    <x v="0"/>
    <n v="1"/>
    <m/>
  </r>
  <r>
    <x v="28"/>
    <s v="Transferencias"/>
    <n v="10798"/>
    <s v="Auto"/>
    <s v="Gasto"/>
    <s v="Pago Unico"/>
    <m/>
    <m/>
    <s v="Gastos del mes debitables"/>
    <n v="2"/>
    <x v="0"/>
    <n v="1"/>
    <s v="ML"/>
  </r>
  <r>
    <x v="28"/>
    <s v="Auto"/>
    <n v="366671"/>
    <s v="Auto"/>
    <s v="Gasto"/>
    <s v="En Cuotas"/>
    <n v="48"/>
    <n v="5"/>
    <s v="Gastos del mes debitables"/>
    <n v="2"/>
    <x v="0"/>
    <n v="1"/>
    <s v="Papi"/>
  </r>
  <r>
    <x v="28"/>
    <s v="Comida Mes"/>
    <n v="240000"/>
    <s v="Comida"/>
    <s v="Gasto"/>
    <s v="Pago Unico"/>
    <m/>
    <m/>
    <s v="Gastos del mes debitables"/>
    <n v="2"/>
    <x v="0"/>
    <n v="1"/>
    <m/>
  </r>
  <r>
    <x v="28"/>
    <s v="Super"/>
    <n v="150000"/>
    <s v="Comida"/>
    <s v="Gasto"/>
    <s v="Pago Unico"/>
    <m/>
    <m/>
    <s v="Gastos del mes debitables"/>
    <n v="2"/>
    <x v="0"/>
    <n v="1"/>
    <m/>
  </r>
  <r>
    <x v="28"/>
    <s v="Campera"/>
    <n v="23666"/>
    <s v="Creditos"/>
    <s v="Gasto"/>
    <s v="En Cuotas"/>
    <n v="6"/>
    <n v="4"/>
    <s v="Gastos del mes pagar Papi"/>
    <n v="1"/>
    <x v="2"/>
    <n v="3"/>
    <s v="Papi"/>
  </r>
  <r>
    <x v="28"/>
    <s v="Gacebo"/>
    <n v="43244"/>
    <s v="Creditos"/>
    <s v="Gasto"/>
    <s v="En Cuotas"/>
    <n v="12"/>
    <n v="7"/>
    <s v="Gastos del mes debitables"/>
    <n v="2"/>
    <x v="0"/>
    <n v="1"/>
    <s v="Fleco"/>
  </r>
  <r>
    <x v="28"/>
    <s v="Aceite"/>
    <n v="18600"/>
    <s v="Creditos"/>
    <s v="Gasto"/>
    <s v="En Cuotas"/>
    <n v="3"/>
    <n v="3"/>
    <s v="Gastos del mes debitables"/>
    <n v="2"/>
    <x v="0"/>
    <n v="1"/>
    <s v="ML"/>
  </r>
  <r>
    <x v="28"/>
    <s v="Libro"/>
    <n v="18900"/>
    <s v="Creditos"/>
    <s v="Gasto"/>
    <s v="En Cuotas"/>
    <n v="3"/>
    <n v="3"/>
    <s v="Gastos del mes debitables"/>
    <n v="2"/>
    <x v="0"/>
    <n v="1"/>
    <s v="ML"/>
  </r>
  <r>
    <x v="28"/>
    <s v="Zapas"/>
    <n v="15088"/>
    <s v="Creditos"/>
    <s v="Gasto"/>
    <s v="En Cuotas"/>
    <n v="6"/>
    <n v="6"/>
    <s v="Gastos del mes debitables"/>
    <n v="2"/>
    <x v="0"/>
    <n v="1"/>
    <s v="uala"/>
  </r>
  <r>
    <x v="28"/>
    <s v="Expensas"/>
    <n v="114250"/>
    <s v="Depto"/>
    <s v="Gasto"/>
    <s v="Pago Unico"/>
    <m/>
    <m/>
    <s v="Gastos del mes pagar Papi"/>
    <n v="1"/>
    <x v="2"/>
    <n v="3"/>
    <m/>
  </r>
  <r>
    <x v="28"/>
    <s v="Alquiler"/>
    <n v="194350"/>
    <s v="Depto"/>
    <s v="Gasto"/>
    <s v="Pago Unico"/>
    <m/>
    <m/>
    <s v="Gastos del mes pagar Papi"/>
    <n v="1"/>
    <x v="2"/>
    <n v="3"/>
    <m/>
  </r>
  <r>
    <x v="28"/>
    <s v="Trabajo"/>
    <n v="2698887"/>
    <s v="Ingreso"/>
    <s v="Ingreso"/>
    <s v="Cobro"/>
    <m/>
    <m/>
    <s v="Cobro Mensual"/>
    <n v="4"/>
    <x v="1"/>
    <n v="4"/>
    <m/>
  </r>
  <r>
    <x v="28"/>
    <s v="Bmx"/>
    <n v="43000"/>
    <s v="Juan"/>
    <s v="Gasto"/>
    <s v="Pago Unico"/>
    <m/>
    <m/>
    <s v="Gastos del mes debitables"/>
    <n v="2"/>
    <x v="0"/>
    <n v="1"/>
    <m/>
  </r>
  <r>
    <x v="28"/>
    <s v="Carrera"/>
    <n v="32000"/>
    <s v="Juan"/>
    <s v="Gasto"/>
    <s v="Pago Unico"/>
    <m/>
    <m/>
    <s v="Gastos del mes pagar Papi"/>
    <n v="1"/>
    <x v="2"/>
    <n v="3"/>
    <m/>
  </r>
  <r>
    <x v="28"/>
    <s v="Cumple Juan"/>
    <n v="73043"/>
    <s v="Juan"/>
    <s v="Gasto"/>
    <s v="Pago Unico"/>
    <m/>
    <m/>
    <s v="Gastos del mes debitables"/>
    <n v="2"/>
    <x v="0"/>
    <n v="1"/>
    <m/>
  </r>
  <r>
    <x v="28"/>
    <s v="CuotaJuan"/>
    <n v="454829"/>
    <s v="Juan"/>
    <s v="Gasto"/>
    <s v="Pago Unico"/>
    <m/>
    <m/>
    <s v="Gastos del mes debitables"/>
    <n v="2"/>
    <x v="0"/>
    <n v="1"/>
    <m/>
  </r>
  <r>
    <x v="28"/>
    <s v="Monotributo"/>
    <n v="136058"/>
    <s v="Monotributo"/>
    <s v="Gasto"/>
    <s v="Pago Unico"/>
    <m/>
    <m/>
    <s v="Gastos del mes debitables"/>
    <n v="2"/>
    <x v="2"/>
    <n v="3"/>
    <m/>
  </r>
  <r>
    <x v="28"/>
    <s v="Obra Social"/>
    <n v="224163"/>
    <s v="Salud"/>
    <s v="Gasto"/>
    <s v="Pago Unico"/>
    <m/>
    <m/>
    <s v="Gastos del mes debitables"/>
    <n v="2"/>
    <x v="0"/>
    <n v="1"/>
    <m/>
  </r>
  <r>
    <x v="28"/>
    <s v="Regalo Le"/>
    <n v="31000"/>
    <s v="Servicios"/>
    <s v="Gasto"/>
    <s v="Pago Unico"/>
    <m/>
    <m/>
    <s v="Gastos del mes debitables"/>
    <n v="2"/>
    <x v="0"/>
    <n v="1"/>
    <m/>
  </r>
  <r>
    <x v="28"/>
    <s v="Gym        "/>
    <n v="37500"/>
    <s v="Salud"/>
    <s v="Gasto"/>
    <s v="Pago Unico"/>
    <m/>
    <m/>
    <s v="Gastos del mes pagar Papi"/>
    <n v="1"/>
    <x v="2"/>
    <n v="3"/>
    <m/>
  </r>
  <r>
    <x v="28"/>
    <s v="Internet"/>
    <n v="10000"/>
    <s v="Servicios"/>
    <s v="Gasto"/>
    <s v="Pago Unico"/>
    <m/>
    <m/>
    <s v="Gastos del mes pagar Papi"/>
    <n v="1"/>
    <x v="2"/>
    <n v="3"/>
    <m/>
  </r>
  <r>
    <x v="28"/>
    <s v="Luz"/>
    <n v="16810"/>
    <s v="Servicios"/>
    <s v="Gasto"/>
    <s v="Pago Unico"/>
    <m/>
    <m/>
    <s v="Gastos del mes pagar Papi"/>
    <n v="1"/>
    <x v="2"/>
    <n v="3"/>
    <m/>
  </r>
  <r>
    <x v="28"/>
    <s v="Xbox"/>
    <n v="19122"/>
    <s v="Subscripción"/>
    <s v="Gasto"/>
    <s v="Pago Unico"/>
    <m/>
    <m/>
    <s v="Gastos del mes debitables"/>
    <n v="2"/>
    <x v="2"/>
    <n v="3"/>
    <m/>
  </r>
  <r>
    <x v="28"/>
    <s v="Spotify"/>
    <n v="2000"/>
    <s v="Subscripción"/>
    <s v="Gasto"/>
    <s v="Pago Unico"/>
    <m/>
    <m/>
    <s v="Gastos del mes debitables"/>
    <n v="2"/>
    <x v="2"/>
    <n v="3"/>
    <m/>
  </r>
  <r>
    <x v="28"/>
    <s v="Google"/>
    <n v="3391"/>
    <s v="Subscripción"/>
    <s v="Gasto"/>
    <s v="Pago Unico"/>
    <m/>
    <m/>
    <s v="Gastos del mes debitables"/>
    <n v="2"/>
    <x v="2"/>
    <n v="3"/>
    <m/>
  </r>
  <r>
    <x v="28"/>
    <s v="Youtube"/>
    <n v="1904"/>
    <s v="Subscripción"/>
    <s v="Gasto"/>
    <s v="Pago Unico"/>
    <m/>
    <m/>
    <s v="Gastos del mes debitables"/>
    <n v="2"/>
    <x v="2"/>
    <n v="3"/>
    <m/>
  </r>
  <r>
    <x v="28"/>
    <s v="Netflix"/>
    <n v="0"/>
    <s v="Subscripción"/>
    <s v="Gasto"/>
    <s v="Pago Unico"/>
    <m/>
    <m/>
    <s v="Gastos del mes debitables"/>
    <n v="2"/>
    <x v="2"/>
    <n v="3"/>
    <m/>
  </r>
  <r>
    <x v="28"/>
    <s v="Max"/>
    <n v="8900"/>
    <s v="Subscripción"/>
    <s v="Gasto"/>
    <s v="Pago Unico"/>
    <m/>
    <m/>
    <s v="Gastos del mes debitables"/>
    <n v="2"/>
    <x v="2"/>
    <n v="3"/>
    <m/>
  </r>
  <r>
    <x v="29"/>
    <s v="Trabajo"/>
    <n v="3038118"/>
    <s v="Ingreso"/>
    <s v="Ingreso"/>
    <s v="Cobro"/>
    <m/>
    <m/>
    <s v="Cobro Mensual"/>
    <n v="4"/>
    <x v="1"/>
    <n v="4"/>
    <m/>
  </r>
  <r>
    <x v="29"/>
    <s v="CuotaJuan"/>
    <n v="450000"/>
    <s v="Juan"/>
    <s v="Gasto"/>
    <s v="Pago Unico"/>
    <m/>
    <m/>
    <s v="Gastos del mes debitables"/>
    <n v="2"/>
    <x v="0"/>
    <n v="1"/>
    <m/>
  </r>
  <r>
    <x v="29"/>
    <s v="Auto"/>
    <n v="364000"/>
    <s v="Auto"/>
    <s v="Gasto"/>
    <s v="En Cuotas"/>
    <n v="48"/>
    <n v="6"/>
    <s v="Gastos del mes debitables"/>
    <n v="2"/>
    <x v="0"/>
    <n v="1"/>
    <s v="Papi"/>
  </r>
  <r>
    <x v="29"/>
    <s v="Comida Mes"/>
    <n v="320000"/>
    <s v="Comida"/>
    <s v="Gasto"/>
    <s v="Pago Unico"/>
    <m/>
    <m/>
    <s v="Gastos del mes debitables"/>
    <n v="2"/>
    <x v="0"/>
    <n v="1"/>
    <m/>
  </r>
  <r>
    <x v="29"/>
    <s v="Obra Social"/>
    <n v="223734"/>
    <s v="Salud"/>
    <s v="Gasto"/>
    <s v="Pago Unico"/>
    <m/>
    <m/>
    <s v="Gastos del mes debitables"/>
    <n v="2"/>
    <x v="0"/>
    <n v="1"/>
    <m/>
  </r>
  <r>
    <x v="29"/>
    <s v="Alquiler"/>
    <n v="194350"/>
    <s v="Depto"/>
    <s v="Gasto"/>
    <s v="Pago Unico"/>
    <m/>
    <m/>
    <s v="Gastos del mes pagar Papi"/>
    <n v="1"/>
    <x v="2"/>
    <n v="3"/>
    <m/>
  </r>
  <r>
    <x v="29"/>
    <s v="Parrilla"/>
    <n v="171000"/>
    <s v="Auto"/>
    <s v="Gasto"/>
    <s v="Pago Unico"/>
    <m/>
    <m/>
    <s v="Gastos del mes pagar Papi"/>
    <n v="1"/>
    <x v="2"/>
    <n v="3"/>
    <m/>
  </r>
  <r>
    <x v="29"/>
    <s v="Super"/>
    <n v="150000"/>
    <s v="Comida"/>
    <s v="Gasto"/>
    <s v="Pago Unico"/>
    <m/>
    <m/>
    <s v="Gastos del mes debitables"/>
    <n v="2"/>
    <x v="0"/>
    <n v="1"/>
    <m/>
  </r>
  <r>
    <x v="29"/>
    <s v="Monotributo"/>
    <n v="132000"/>
    <s v="Monotributo"/>
    <s v="Gasto"/>
    <s v="Pago Unico"/>
    <m/>
    <m/>
    <s v="Gastos del mes debitables"/>
    <n v="2"/>
    <x v="2"/>
    <n v="3"/>
    <m/>
  </r>
  <r>
    <x v="29"/>
    <s v="Expensas"/>
    <n v="121000"/>
    <s v="Depto"/>
    <s v="Gasto"/>
    <s v="Pago Unico"/>
    <m/>
    <m/>
    <s v="Gastos del mes pagar Papi"/>
    <n v="1"/>
    <x v="2"/>
    <n v="3"/>
    <m/>
  </r>
  <r>
    <x v="29"/>
    <s v="Cochera"/>
    <n v="101000"/>
    <s v="Auto"/>
    <s v="Gasto"/>
    <s v="Pago Unico"/>
    <m/>
    <m/>
    <s v="Gastos del mes debitables"/>
    <n v="2"/>
    <x v="0"/>
    <n v="1"/>
    <m/>
  </r>
  <r>
    <x v="29"/>
    <s v="Findes"/>
    <n v="80000"/>
    <s v="Comida"/>
    <s v="Gasto"/>
    <s v="Pago Unico"/>
    <m/>
    <m/>
    <s v="Gastos del mes debitables"/>
    <n v="2"/>
    <x v="2"/>
    <n v="3"/>
    <m/>
  </r>
  <r>
    <x v="29"/>
    <s v="Seguro Auto"/>
    <n v="54838"/>
    <s v="Auto"/>
    <s v="Gasto"/>
    <s v="Pago Unico"/>
    <m/>
    <m/>
    <s v="Gastos del mes debitables"/>
    <n v="2"/>
    <x v="0"/>
    <n v="1"/>
    <m/>
  </r>
  <r>
    <x v="29"/>
    <s v="Bmx"/>
    <n v="40000"/>
    <s v="Juan"/>
    <s v="Gasto"/>
    <s v="Pago Unico"/>
    <m/>
    <m/>
    <s v="Gastos del mes debitables"/>
    <n v="2"/>
    <x v="0"/>
    <n v="1"/>
    <m/>
  </r>
  <r>
    <x v="29"/>
    <s v="Gym        "/>
    <n v="37500"/>
    <s v="Salud"/>
    <s v="Gasto"/>
    <s v="Pago Unico"/>
    <m/>
    <m/>
    <s v="Gastos del mes pagar Papi"/>
    <n v="1"/>
    <x v="2"/>
    <n v="3"/>
    <m/>
  </r>
  <r>
    <x v="29"/>
    <s v="Guantes"/>
    <n v="34000"/>
    <s v="Juan"/>
    <s v="Gasto"/>
    <s v="Pago Unico"/>
    <m/>
    <m/>
    <s v="Gastos del mes pagar Papi"/>
    <n v="1"/>
    <x v="2"/>
    <n v="3"/>
    <m/>
  </r>
  <r>
    <x v="29"/>
    <s v="Transferencias"/>
    <n v="32850"/>
    <s v="Creditos"/>
    <s v="Gasto"/>
    <s v="Pago Unico"/>
    <m/>
    <m/>
    <s v="Gastos del mes debitables"/>
    <n v="2"/>
    <x v="0"/>
    <n v="1"/>
    <s v="ML"/>
  </r>
  <r>
    <x v="29"/>
    <s v="Gacebo"/>
    <n v="32000"/>
    <s v="Creditos"/>
    <s v="Gasto"/>
    <s v="En Cuotas"/>
    <n v="12"/>
    <n v="7"/>
    <s v="Gastos del mes debitables"/>
    <n v="2"/>
    <x v="0"/>
    <n v="1"/>
    <s v="Fleco"/>
  </r>
  <r>
    <x v="29"/>
    <s v="Carrera"/>
    <n v="32000"/>
    <s v="Juan"/>
    <s v="Gasto"/>
    <s v="Pago Unico"/>
    <m/>
    <m/>
    <s v="Gastos del mes pagar Papi"/>
    <n v="1"/>
    <x v="2"/>
    <n v="3"/>
    <m/>
  </r>
  <r>
    <x v="29"/>
    <s v="Campera"/>
    <n v="23666"/>
    <s v="Creditos"/>
    <s v="Gasto"/>
    <s v="En Cuotas"/>
    <n v="6"/>
    <n v="5"/>
    <s v="Gastos del mes pagar Papi"/>
    <n v="1"/>
    <x v="2"/>
    <n v="3"/>
    <s v="Papi"/>
  </r>
  <r>
    <x v="29"/>
    <s v="Xbox"/>
    <n v="18450"/>
    <s v="Subscripción"/>
    <s v="Gasto"/>
    <s v="Pago Unico"/>
    <m/>
    <m/>
    <s v="Gastos del mes debitables"/>
    <n v="2"/>
    <x v="2"/>
    <n v="3"/>
    <m/>
  </r>
  <r>
    <x v="29"/>
    <s v="Luz"/>
    <n v="16809"/>
    <s v="Servicios"/>
    <s v="Gasto"/>
    <s v="Pago Unico"/>
    <m/>
    <m/>
    <s v="Gastos del mes pagar Papi"/>
    <n v="1"/>
    <x v="2"/>
    <n v="3"/>
    <m/>
  </r>
  <r>
    <x v="29"/>
    <s v="Internet"/>
    <n v="10000"/>
    <s v="Servicios"/>
    <s v="Gasto"/>
    <s v="Pago Unico"/>
    <m/>
    <m/>
    <s v="Gastos del mes pagar Papi"/>
    <n v="1"/>
    <x v="2"/>
    <n v="3"/>
    <m/>
  </r>
  <r>
    <x v="29"/>
    <s v="Max"/>
    <n v="9765"/>
    <s v="Subscripción"/>
    <s v="Gasto"/>
    <s v="Pago Unico"/>
    <m/>
    <m/>
    <s v="Gastos del mes debitables"/>
    <n v="2"/>
    <x v="2"/>
    <n v="3"/>
    <m/>
  </r>
  <r>
    <x v="29"/>
    <s v="Claro"/>
    <n v="8000"/>
    <s v="Subscripción"/>
    <s v="Gasto"/>
    <s v="Pago Unico"/>
    <m/>
    <m/>
    <s v="Gastos del mes debitables"/>
    <n v="2"/>
    <x v="2"/>
    <n v="3"/>
    <m/>
  </r>
  <r>
    <x v="29"/>
    <s v="Spotify"/>
    <n v="4350"/>
    <s v="Subscripción"/>
    <s v="Gasto"/>
    <s v="Pago Unico"/>
    <m/>
    <m/>
    <s v="Gastos del mes debitables"/>
    <n v="2"/>
    <x v="2"/>
    <n v="3"/>
    <m/>
  </r>
  <r>
    <x v="29"/>
    <s v="Google"/>
    <n v="3680"/>
    <s v="Subscripción"/>
    <s v="Gasto"/>
    <s v="Pago Unico"/>
    <m/>
    <m/>
    <s v="Gastos del mes debitables"/>
    <n v="2"/>
    <x v="2"/>
    <n v="3"/>
    <m/>
  </r>
  <r>
    <x v="30"/>
    <m/>
    <m/>
    <m/>
    <m/>
    <m/>
    <m/>
    <m/>
    <m/>
    <m/>
    <x v="4"/>
    <m/>
    <m/>
  </r>
  <r>
    <x v="29"/>
    <s v="Youtube"/>
    <n v="2158"/>
    <s v="Subscripción"/>
    <s v="Gasto"/>
    <s v="Pago Unico"/>
    <m/>
    <m/>
    <s v="Gastos del mes debitables"/>
    <n v="2"/>
    <x v="2"/>
    <n v="3"/>
    <m/>
  </r>
  <r>
    <x v="31"/>
    <s v="Trabajo"/>
    <n v="3239763"/>
    <s v="Ingreso"/>
    <s v="Ingreso"/>
    <s v="Cobro"/>
    <m/>
    <m/>
    <s v="Cobro Mensual"/>
    <n v="4"/>
    <x v="1"/>
    <n v="4"/>
    <m/>
  </r>
  <r>
    <x v="31"/>
    <s v="CuotaJuan"/>
    <n v="450000"/>
    <s v="Juan"/>
    <s v="Gasto"/>
    <s v="Pago Unico"/>
    <m/>
    <m/>
    <s v="Gastos del mes debitables"/>
    <n v="2"/>
    <x v="3"/>
    <n v="2"/>
    <m/>
  </r>
  <r>
    <x v="31"/>
    <s v="Auto"/>
    <n v="361000"/>
    <s v="Auto"/>
    <s v="Gasto"/>
    <s v="En Cuotas"/>
    <n v="48"/>
    <n v="7"/>
    <s v="Gastos del mes debitables"/>
    <n v="2"/>
    <x v="0"/>
    <n v="1"/>
    <s v="Papi"/>
  </r>
  <r>
    <x v="31"/>
    <s v="Comida Mes"/>
    <n v="320000"/>
    <s v="Comida"/>
    <s v="Gasto"/>
    <s v="Pago Unico"/>
    <m/>
    <m/>
    <s v="Gastos del mes debitables"/>
    <n v="2"/>
    <x v="2"/>
    <n v="3"/>
    <m/>
  </r>
  <r>
    <x v="31"/>
    <s v="Obra Social"/>
    <n v="223734"/>
    <s v="Salud"/>
    <s v="Gasto"/>
    <s v="Pago Unico"/>
    <m/>
    <m/>
    <s v="Gastos del mes debitables"/>
    <n v="2"/>
    <x v="0"/>
    <n v="1"/>
    <m/>
  </r>
  <r>
    <x v="31"/>
    <s v="Alquiler"/>
    <n v="194350"/>
    <s v="Depto"/>
    <s v="Gasto"/>
    <s v="Pago Unico"/>
    <m/>
    <m/>
    <s v="Gastos del mes pagar Papi"/>
    <n v="1"/>
    <x v="2"/>
    <n v="3"/>
    <m/>
  </r>
  <r>
    <x v="31"/>
    <s v="Super"/>
    <n v="150000"/>
    <s v="Comida"/>
    <s v="Gasto"/>
    <s v="Pago Unico"/>
    <m/>
    <m/>
    <s v="Gastos del mes debitables"/>
    <n v="2"/>
    <x v="2"/>
    <n v="3"/>
    <m/>
  </r>
  <r>
    <x v="31"/>
    <s v="Monotributo"/>
    <n v="136000"/>
    <s v="Monotributo"/>
    <s v="Gasto"/>
    <s v="Pago Unico"/>
    <m/>
    <m/>
    <s v="Gastos del mes debitables"/>
    <n v="2"/>
    <x v="2"/>
    <n v="3"/>
    <m/>
  </r>
  <r>
    <x v="31"/>
    <s v="Expensas"/>
    <n v="121000"/>
    <s v="Depto"/>
    <s v="Gasto"/>
    <s v="Pago Unico"/>
    <m/>
    <m/>
    <s v="Gastos del mes pagar Papi"/>
    <n v="1"/>
    <x v="2"/>
    <n v="3"/>
    <m/>
  </r>
  <r>
    <x v="31"/>
    <s v="Cochera"/>
    <n v="101000"/>
    <s v="Auto"/>
    <s v="Gasto"/>
    <s v="Pago Unico"/>
    <m/>
    <m/>
    <s v="Gastos del mes debitables"/>
    <n v="2"/>
    <x v="0"/>
    <n v="1"/>
    <m/>
  </r>
  <r>
    <x v="31"/>
    <s v="Farmacia"/>
    <n v="91000"/>
    <s v="Salud"/>
    <s v="Gasto"/>
    <s v="Pago Unico"/>
    <m/>
    <m/>
    <s v="Gastos del mes debitables"/>
    <n v="2"/>
    <x v="0"/>
    <n v="1"/>
    <s v="uala"/>
  </r>
  <r>
    <x v="31"/>
    <s v="Findes"/>
    <n v="100000"/>
    <s v="Comida"/>
    <s v="Gasto"/>
    <s v="Pago Unico"/>
    <m/>
    <m/>
    <s v="Gastos del mes debitables"/>
    <n v="2"/>
    <x v="2"/>
    <n v="3"/>
    <m/>
  </r>
  <r>
    <x v="31"/>
    <s v="Seguro Auto"/>
    <n v="60047"/>
    <s v="Auto"/>
    <s v="Gasto"/>
    <s v="Pago Unico"/>
    <m/>
    <m/>
    <s v="Gastos del mes debitables"/>
    <n v="2"/>
    <x v="0"/>
    <n v="1"/>
    <m/>
  </r>
  <r>
    <x v="31"/>
    <s v="Bmx"/>
    <n v="40000"/>
    <s v="Juan"/>
    <s v="Gasto"/>
    <s v="Pago Unico"/>
    <m/>
    <m/>
    <s v="Gastos del mes debitables"/>
    <n v="2"/>
    <x v="0"/>
    <n v="1"/>
    <m/>
  </r>
  <r>
    <x v="31"/>
    <s v="Carrera"/>
    <n v="38000"/>
    <s v="Juan"/>
    <s v="Gasto"/>
    <s v="Pago Unico"/>
    <m/>
    <m/>
    <s v="Gastos del mes pagar Papi"/>
    <n v="1"/>
    <x v="2"/>
    <n v="3"/>
    <m/>
  </r>
  <r>
    <x v="31"/>
    <s v="Gym        "/>
    <n v="37500"/>
    <s v="Salud"/>
    <s v="Gasto"/>
    <s v="Pago Unico"/>
    <m/>
    <m/>
    <s v="Gastos del mes pagar Papi"/>
    <n v="1"/>
    <x v="2"/>
    <n v="3"/>
    <m/>
  </r>
  <r>
    <x v="31"/>
    <s v="Gravl"/>
    <n v="34000"/>
    <s v="Salud"/>
    <s v="Gasto"/>
    <s v="Pago Unico"/>
    <m/>
    <m/>
    <s v="Gastos del mes debitables"/>
    <n v="2"/>
    <x v="0"/>
    <n v="1"/>
    <s v="uala"/>
  </r>
  <r>
    <x v="31"/>
    <s v="Transferencias"/>
    <n v="3894"/>
    <s v="Creditos"/>
    <s v="Gasto"/>
    <s v="En Cuotas"/>
    <n v="1"/>
    <n v="1"/>
    <s v="Gastos del mes debitables"/>
    <n v="2"/>
    <x v="0"/>
    <n v="1"/>
    <s v="ML"/>
  </r>
  <r>
    <x v="31"/>
    <s v="Gacebo"/>
    <n v="58079"/>
    <s v="Creditos"/>
    <s v="Gasto"/>
    <s v="En Cuotas"/>
    <n v="12"/>
    <n v="8"/>
    <s v="Gastos del mes debitables"/>
    <n v="2"/>
    <x v="0"/>
    <n v="1"/>
    <s v="Fleco"/>
  </r>
  <r>
    <x v="31"/>
    <s v="Campera"/>
    <n v="23666"/>
    <s v="Creditos"/>
    <s v="Gasto"/>
    <s v="En Cuotas"/>
    <n v="6"/>
    <n v="6"/>
    <s v="Gastos del mes pagar Papi"/>
    <n v="1"/>
    <x v="2"/>
    <n v="3"/>
    <s v="Papi"/>
  </r>
  <r>
    <x v="31"/>
    <s v="Xbox"/>
    <n v="18450"/>
    <s v="Subscripción"/>
    <s v="Gasto"/>
    <s v="Pago Unico"/>
    <m/>
    <m/>
    <s v="Gastos del mes debitables"/>
    <n v="2"/>
    <x v="2"/>
    <n v="3"/>
    <m/>
  </r>
  <r>
    <x v="31"/>
    <s v="Luz"/>
    <n v="16809"/>
    <s v="Servicios"/>
    <s v="Gasto"/>
    <s v="Pago Unico"/>
    <m/>
    <m/>
    <s v="Gastos del mes pagar Papi"/>
    <n v="1"/>
    <x v="2"/>
    <n v="3"/>
    <m/>
  </r>
  <r>
    <x v="31"/>
    <s v="Internet"/>
    <n v="10000"/>
    <s v="Servicios"/>
    <s v="Gasto"/>
    <s v="Pago Unico"/>
    <m/>
    <m/>
    <s v="Gastos del mes pagar Papi"/>
    <n v="1"/>
    <x v="2"/>
    <n v="3"/>
    <m/>
  </r>
  <r>
    <x v="31"/>
    <s v="Max"/>
    <n v="9765"/>
    <s v="Subscripción"/>
    <s v="Gasto"/>
    <s v="Pago Unico"/>
    <m/>
    <m/>
    <s v="Gastos del mes debitables"/>
    <n v="2"/>
    <x v="2"/>
    <n v="3"/>
    <m/>
  </r>
  <r>
    <x v="31"/>
    <s v="Claro"/>
    <n v="8000"/>
    <s v="Subscripción"/>
    <s v="Gasto"/>
    <s v="Pago Unico"/>
    <m/>
    <m/>
    <s v="Gastos del mes debitables"/>
    <n v="2"/>
    <x v="2"/>
    <n v="3"/>
    <m/>
  </r>
  <r>
    <x v="31"/>
    <s v="Spotify"/>
    <n v="4350"/>
    <s v="Subscripción"/>
    <s v="Gasto"/>
    <s v="Pago Unico"/>
    <m/>
    <m/>
    <s v="Gastos del mes debitables"/>
    <n v="2"/>
    <x v="2"/>
    <n v="3"/>
    <m/>
  </r>
  <r>
    <x v="31"/>
    <s v="Google"/>
    <n v="3680"/>
    <s v="Subscripción"/>
    <s v="Gasto"/>
    <s v="Pago Unico"/>
    <m/>
    <m/>
    <s v="Gastos del mes debitables"/>
    <n v="2"/>
    <x v="2"/>
    <n v="3"/>
    <m/>
  </r>
  <r>
    <x v="31"/>
    <s v="Youtube"/>
    <n v="2158"/>
    <s v="Subscripción"/>
    <s v="Gasto"/>
    <s v="Pago Unico"/>
    <m/>
    <m/>
    <s v="Gastos del mes debitables"/>
    <n v="2"/>
    <x v="2"/>
    <n v="3"/>
    <m/>
  </r>
  <r>
    <x v="32"/>
    <s v="Trabajo"/>
    <n v="2876802"/>
    <s v="Ingreso"/>
    <s v="Ingreso"/>
    <s v="Cobro"/>
    <m/>
    <m/>
    <s v="Cobro Mensual"/>
    <n v="4"/>
    <x v="1"/>
    <n v="4"/>
    <m/>
  </r>
  <r>
    <x v="32"/>
    <s v="CuotaJuan"/>
    <n v="450000"/>
    <s v="Juan"/>
    <s v="Gasto"/>
    <s v="Pago Unico"/>
    <m/>
    <m/>
    <s v="Gastos del mes debitables"/>
    <n v="2"/>
    <x v="3"/>
    <n v="2"/>
    <m/>
  </r>
  <r>
    <x v="32"/>
    <s v="Auto"/>
    <n v="361000"/>
    <s v="Auto"/>
    <s v="Gasto"/>
    <s v="En Cuotas"/>
    <n v="48"/>
    <n v="7"/>
    <s v="Gastos del mes debitables"/>
    <n v="2"/>
    <x v="3"/>
    <n v="2"/>
    <s v="Papi"/>
  </r>
  <r>
    <x v="32"/>
    <s v="Comida Mes"/>
    <n v="320000"/>
    <s v="Comida"/>
    <s v="Gasto"/>
    <s v="Pago Unico"/>
    <m/>
    <m/>
    <s v="Gastos del mes debitables"/>
    <n v="2"/>
    <x v="3"/>
    <n v="2"/>
    <m/>
  </r>
  <r>
    <x v="32"/>
    <s v="Obra Social"/>
    <n v="234786"/>
    <s v="Salud"/>
    <s v="Gasto"/>
    <s v="Pago Unico"/>
    <m/>
    <m/>
    <s v="Gastos del mes debitables"/>
    <n v="2"/>
    <x v="3"/>
    <n v="2"/>
    <m/>
  </r>
  <r>
    <x v="32"/>
    <s v="Alquiler"/>
    <n v="194350"/>
    <s v="Depto"/>
    <s v="Gasto"/>
    <s v="Pago Unico"/>
    <m/>
    <m/>
    <s v="Gastos del mes pagar Papi"/>
    <n v="1"/>
    <x v="3"/>
    <n v="2"/>
    <m/>
  </r>
  <r>
    <x v="32"/>
    <s v="Super"/>
    <n v="150000"/>
    <s v="Comida"/>
    <s v="Gasto"/>
    <s v="Pago Unico"/>
    <m/>
    <m/>
    <s v="Gastos del mes debitables"/>
    <n v="2"/>
    <x v="3"/>
    <n v="2"/>
    <m/>
  </r>
  <r>
    <x v="32"/>
    <s v="Monotributo"/>
    <n v="216389"/>
    <s v="Monotributo"/>
    <s v="Gasto"/>
    <s v="Pago Unico"/>
    <m/>
    <m/>
    <s v="Gastos del mes debitables"/>
    <n v="2"/>
    <x v="3"/>
    <n v="2"/>
    <m/>
  </r>
  <r>
    <x v="32"/>
    <s v="Expensas"/>
    <n v="128800"/>
    <s v="Depto"/>
    <s v="Gasto"/>
    <s v="Pago Unico"/>
    <m/>
    <m/>
    <s v="Gastos del mes pagar Papi"/>
    <n v="1"/>
    <x v="3"/>
    <n v="2"/>
    <m/>
  </r>
  <r>
    <x v="32"/>
    <s v="Cochera"/>
    <n v="112000"/>
    <s v="Auto"/>
    <s v="Gasto"/>
    <s v="Pago Unico"/>
    <m/>
    <m/>
    <s v="Gastos del mes debitables"/>
    <n v="2"/>
    <x v="3"/>
    <n v="2"/>
    <m/>
  </r>
  <r>
    <x v="32"/>
    <s v="Findes"/>
    <n v="0"/>
    <s v="Comida"/>
    <s v="Gasto"/>
    <s v="Pago Unico"/>
    <m/>
    <m/>
    <s v="Gastos del mes debitables"/>
    <n v="2"/>
    <x v="3"/>
    <n v="2"/>
    <m/>
  </r>
  <r>
    <x v="32"/>
    <s v="Seguro Auto"/>
    <n v="60067"/>
    <s v="Auto"/>
    <s v="Gasto"/>
    <s v="Pago Unico"/>
    <m/>
    <m/>
    <s v="Gastos del mes debitables"/>
    <n v="2"/>
    <x v="3"/>
    <n v="2"/>
    <m/>
  </r>
  <r>
    <x v="32"/>
    <s v="Bmx"/>
    <n v="40000"/>
    <s v="Juan"/>
    <s v="Gasto"/>
    <s v="Pago Unico"/>
    <m/>
    <m/>
    <s v="Gastos del mes debitables"/>
    <n v="2"/>
    <x v="3"/>
    <n v="2"/>
    <m/>
  </r>
  <r>
    <x v="32"/>
    <s v="Carrera"/>
    <n v="38000"/>
    <s v="Juan"/>
    <s v="Gasto"/>
    <s v="Pago Unico"/>
    <m/>
    <m/>
    <s v="Gastos del mes pagar Papi"/>
    <n v="1"/>
    <x v="3"/>
    <n v="2"/>
    <m/>
  </r>
  <r>
    <x v="32"/>
    <s v="Gym        "/>
    <n v="44000"/>
    <s v="Salud"/>
    <s v="Gasto"/>
    <s v="Pago Unico"/>
    <m/>
    <m/>
    <s v="Gastos del mes pagar Papi"/>
    <n v="1"/>
    <x v="3"/>
    <n v="2"/>
    <m/>
  </r>
  <r>
    <x v="32"/>
    <s v="Mother"/>
    <n v="28279"/>
    <s v="Creditos"/>
    <s v="Gasto"/>
    <s v="En Cuotas"/>
    <n v="1"/>
    <n v="12"/>
    <s v="Gastos del mes debitables"/>
    <n v="2"/>
    <x v="3"/>
    <n v="2"/>
    <s v="uala"/>
  </r>
  <r>
    <x v="32"/>
    <s v="Gacebo"/>
    <n v="58079"/>
    <s v="Creditos"/>
    <s v="Gasto"/>
    <s v="En Cuotas"/>
    <n v="12"/>
    <n v="8"/>
    <s v="Gastos del mes debitables"/>
    <n v="2"/>
    <x v="3"/>
    <n v="2"/>
    <s v="Fleco"/>
  </r>
  <r>
    <x v="32"/>
    <s v="Xbox"/>
    <n v="18450"/>
    <s v="Subscripción"/>
    <s v="Gasto"/>
    <s v="Pago Unico"/>
    <m/>
    <m/>
    <s v="Gastos del mes debitables"/>
    <n v="2"/>
    <x v="3"/>
    <n v="2"/>
    <m/>
  </r>
  <r>
    <x v="32"/>
    <s v="Luz"/>
    <n v="16809"/>
    <s v="Servicios"/>
    <s v="Gasto"/>
    <s v="Pago Unico"/>
    <m/>
    <m/>
    <s v="Gastos del mes pagar Papi"/>
    <n v="1"/>
    <x v="3"/>
    <n v="2"/>
    <m/>
  </r>
  <r>
    <x v="32"/>
    <s v="Internet"/>
    <n v="10000"/>
    <s v="Servicios"/>
    <s v="Gasto"/>
    <s v="Pago Unico"/>
    <m/>
    <m/>
    <s v="Gastos del mes pagar Papi"/>
    <n v="1"/>
    <x v="3"/>
    <n v="2"/>
    <m/>
  </r>
  <r>
    <x v="32"/>
    <s v="Max"/>
    <n v="9765"/>
    <s v="Subscripción"/>
    <s v="Gasto"/>
    <s v="Pago Unico"/>
    <m/>
    <m/>
    <s v="Gastos del mes debitables"/>
    <n v="2"/>
    <x v="3"/>
    <n v="2"/>
    <m/>
  </r>
  <r>
    <x v="32"/>
    <s v="Claro"/>
    <n v="8000"/>
    <s v="Subscripción"/>
    <s v="Gasto"/>
    <s v="Pago Unico"/>
    <m/>
    <m/>
    <s v="Gastos del mes debitables"/>
    <n v="2"/>
    <x v="3"/>
    <n v="2"/>
    <m/>
  </r>
  <r>
    <x v="32"/>
    <s v="Spotify"/>
    <n v="4350"/>
    <s v="Subscripción"/>
    <s v="Gasto"/>
    <s v="Pago Unico"/>
    <m/>
    <m/>
    <s v="Gastos del mes debitables"/>
    <n v="2"/>
    <x v="3"/>
    <n v="2"/>
    <m/>
  </r>
  <r>
    <x v="32"/>
    <s v="Google"/>
    <n v="3680"/>
    <s v="Subscripción"/>
    <s v="Gasto"/>
    <s v="Pago Unico"/>
    <m/>
    <m/>
    <s v="Gastos del mes debitables"/>
    <n v="2"/>
    <x v="3"/>
    <n v="2"/>
    <m/>
  </r>
  <r>
    <x v="32"/>
    <s v="Youtube"/>
    <n v="2158"/>
    <s v="Subscripción"/>
    <s v="Gasto"/>
    <s v="Pago Unico"/>
    <m/>
    <m/>
    <s v="Gastos del mes debitables"/>
    <n v="2"/>
    <x v="3"/>
    <n v="2"/>
    <m/>
  </r>
  <r>
    <x v="32"/>
    <s v="Fuente"/>
    <n v="137763"/>
    <s v="Creditos"/>
    <s v="Gasto"/>
    <s v="Pago Unico"/>
    <n v="1"/>
    <n v="1"/>
    <s v="Gastos del mes debitables"/>
    <n v="2"/>
    <x v="3"/>
    <n v="2"/>
    <s v="uala"/>
  </r>
  <r>
    <x v="32"/>
    <s v="Meli"/>
    <n v="3490"/>
    <s v="Subscripción"/>
    <s v="Gasto"/>
    <s v="Pago Unico"/>
    <m/>
    <m/>
    <s v="Gastos del mes debitables"/>
    <n v="2"/>
    <x v="3"/>
    <n v="2"/>
    <s v="uala"/>
  </r>
  <r>
    <x v="32"/>
    <s v="Libro"/>
    <n v="4499"/>
    <s v="Creditos"/>
    <s v="Gasto"/>
    <s v="En Cuotas"/>
    <n v="2"/>
    <n v="2"/>
    <s v="Gastos del mes debitables"/>
    <n v="2"/>
    <x v="3"/>
    <n v="2"/>
    <s v="uala"/>
  </r>
  <r>
    <x v="32"/>
    <s v="Rolo"/>
    <n v="5542"/>
    <s v="Creditos"/>
    <s v="Gasto"/>
    <s v="En Cuotas"/>
    <n v="2"/>
    <n v="6"/>
    <s v="Gastos del mes debitables"/>
    <n v="2"/>
    <x v="3"/>
    <n v="2"/>
    <s v="uala"/>
  </r>
  <r>
    <x v="32"/>
    <s v="Multa"/>
    <n v="35000"/>
    <s v="Otros"/>
    <s v="Gasto"/>
    <s v="En Cuotas"/>
    <n v="1"/>
    <n v="6"/>
    <s v="Gastos del mes pagar Papi"/>
    <n v="1"/>
    <x v="3"/>
    <n v="2"/>
    <s v="Papi"/>
  </r>
  <r>
    <x v="30"/>
    <m/>
    <m/>
    <m/>
    <m/>
    <m/>
    <m/>
    <m/>
    <s v="Nii"/>
    <m/>
    <x v="5"/>
    <m/>
    <m/>
  </r>
  <r>
    <x v="33"/>
    <s v="Trabajo"/>
    <n v="3360750"/>
    <s v="Ingreso"/>
    <s v="Ingreso"/>
    <s v="Cobro"/>
    <m/>
    <m/>
    <s v="Cobro Mensual"/>
    <n v="4"/>
    <x v="1"/>
    <n v="4"/>
    <m/>
  </r>
  <r>
    <x v="33"/>
    <s v="CuotaJuan"/>
    <n v="450000"/>
    <s v="Juan"/>
    <s v="Gasto"/>
    <s v="Pago Unico"/>
    <m/>
    <m/>
    <s v="Gastos del mes debitables"/>
    <n v="2"/>
    <x v="3"/>
    <n v="2"/>
    <m/>
  </r>
  <r>
    <x v="33"/>
    <s v="Auto"/>
    <n v="431000"/>
    <s v="Auto"/>
    <s v="Gasto"/>
    <s v="En Cuotas"/>
    <n v="48"/>
    <n v="7"/>
    <s v="Gastos del mes debitables"/>
    <n v="2"/>
    <x v="3"/>
    <n v="2"/>
    <s v="Papi"/>
  </r>
  <r>
    <x v="33"/>
    <s v="Comida Mes"/>
    <n v="320000"/>
    <s v="Comida"/>
    <s v="Gasto"/>
    <s v="Pago Unico"/>
    <m/>
    <m/>
    <s v="Gastos del mes debitables"/>
    <n v="2"/>
    <x v="3"/>
    <n v="2"/>
    <m/>
  </r>
  <r>
    <x v="33"/>
    <s v="Obra Social"/>
    <n v="234786"/>
    <s v="Salud"/>
    <s v="Gasto"/>
    <s v="Pago Unico"/>
    <m/>
    <m/>
    <s v="Gastos del mes debitables"/>
    <n v="2"/>
    <x v="3"/>
    <n v="2"/>
    <m/>
  </r>
  <r>
    <x v="33"/>
    <s v="Monotributo"/>
    <n v="216389"/>
    <s v="Monotributo"/>
    <s v="Gasto"/>
    <s v="Pago Unico"/>
    <m/>
    <m/>
    <s v="Gastos del mes debitables"/>
    <n v="2"/>
    <x v="3"/>
    <n v="2"/>
    <m/>
  </r>
  <r>
    <x v="33"/>
    <s v="Alquiler"/>
    <n v="194350"/>
    <s v="Depto"/>
    <s v="Gasto"/>
    <s v="Pago Unico"/>
    <m/>
    <m/>
    <s v="Gastos del mes pagar Papi"/>
    <n v="1"/>
    <x v="3"/>
    <n v="2"/>
    <m/>
  </r>
  <r>
    <x v="33"/>
    <s v="Super"/>
    <n v="150000"/>
    <s v="Comida"/>
    <s v="Gasto"/>
    <s v="Pago Unico"/>
    <m/>
    <m/>
    <s v="Gastos del mes debitables"/>
    <n v="2"/>
    <x v="3"/>
    <n v="2"/>
    <m/>
  </r>
  <r>
    <x v="33"/>
    <s v="Expensas"/>
    <n v="128800"/>
    <s v="Depto"/>
    <s v="Gasto"/>
    <s v="Pago Unico"/>
    <m/>
    <m/>
    <s v="Gastos del mes pagar Papi"/>
    <n v="1"/>
    <x v="3"/>
    <n v="2"/>
    <m/>
  </r>
  <r>
    <x v="33"/>
    <s v="Cochera"/>
    <n v="112000"/>
    <s v="Auto"/>
    <s v="Gasto"/>
    <s v="Pago Unico"/>
    <m/>
    <m/>
    <s v="Gastos del mes debitables"/>
    <n v="2"/>
    <x v="3"/>
    <n v="2"/>
    <m/>
  </r>
  <r>
    <x v="33"/>
    <s v="Seguro Auto"/>
    <n v="60067"/>
    <s v="Auto"/>
    <s v="Gasto"/>
    <s v="Pago Unico"/>
    <m/>
    <m/>
    <s v="Gastos del mes debitables"/>
    <n v="2"/>
    <x v="3"/>
    <n v="2"/>
    <m/>
  </r>
  <r>
    <x v="33"/>
    <s v="Gacebo"/>
    <n v="58079"/>
    <s v="Creditos"/>
    <s v="Gasto"/>
    <s v="En Cuotas"/>
    <n v="12"/>
    <n v="12"/>
    <s v="Gastos del mes debitables"/>
    <n v="2"/>
    <x v="3"/>
    <n v="2"/>
    <s v="Fleco"/>
  </r>
  <r>
    <x v="33"/>
    <s v="Gym        "/>
    <n v="44000"/>
    <s v="Salud"/>
    <s v="Gasto"/>
    <s v="Pago Unico"/>
    <m/>
    <m/>
    <s v="Gastos del mes pagar Papi"/>
    <n v="1"/>
    <x v="3"/>
    <n v="2"/>
    <m/>
  </r>
  <r>
    <x v="33"/>
    <s v="Bmx"/>
    <n v="40000"/>
    <s v="Juan"/>
    <s v="Gasto"/>
    <s v="Pago Unico"/>
    <m/>
    <m/>
    <s v="Gastos del mes debitables"/>
    <n v="2"/>
    <x v="3"/>
    <n v="2"/>
    <m/>
  </r>
  <r>
    <x v="33"/>
    <s v="Carrera"/>
    <n v="38000"/>
    <s v="Juan"/>
    <s v="Gasto"/>
    <s v="Pago Unico"/>
    <m/>
    <m/>
    <s v="Gastos del mes pagar Papi"/>
    <n v="1"/>
    <x v="3"/>
    <n v="2"/>
    <m/>
  </r>
  <r>
    <x v="33"/>
    <s v="Multa"/>
    <n v="35000"/>
    <s v="Otros"/>
    <s v="Gasto"/>
    <s v="En Cuotas"/>
    <n v="6"/>
    <n v="2"/>
    <s v="Gastos del mes pagar Papi"/>
    <n v="1"/>
    <x v="3"/>
    <n v="2"/>
    <s v="Papi"/>
  </r>
  <r>
    <x v="33"/>
    <s v="Mother"/>
    <n v="28279"/>
    <s v="Creditos"/>
    <s v="Gasto"/>
    <s v="En Cuotas"/>
    <n v="2"/>
    <n v="12"/>
    <s v="Gastos del mes debitables"/>
    <n v="2"/>
    <x v="3"/>
    <n v="2"/>
    <s v="uala"/>
  </r>
  <r>
    <x v="33"/>
    <s v="Xbox"/>
    <n v="18450"/>
    <s v="Subscripción"/>
    <s v="Gasto"/>
    <s v="Pago Unico"/>
    <m/>
    <m/>
    <s v="Gastos del mes debitables"/>
    <n v="2"/>
    <x v="3"/>
    <n v="2"/>
    <m/>
  </r>
  <r>
    <x v="33"/>
    <s v="Luz"/>
    <n v="16809"/>
    <s v="Servicios"/>
    <s v="Gasto"/>
    <s v="Pago Unico"/>
    <m/>
    <m/>
    <s v="Gastos del mes pagar Papi"/>
    <n v="1"/>
    <x v="3"/>
    <n v="2"/>
    <m/>
  </r>
  <r>
    <x v="33"/>
    <s v="Internet"/>
    <n v="10000"/>
    <s v="Servicios"/>
    <s v="Gasto"/>
    <s v="Pago Unico"/>
    <m/>
    <m/>
    <s v="Gastos del mes pagar Papi"/>
    <n v="1"/>
    <x v="3"/>
    <n v="2"/>
    <m/>
  </r>
  <r>
    <x v="33"/>
    <s v="Max"/>
    <n v="9765"/>
    <s v="Subscripción"/>
    <s v="Gasto"/>
    <s v="Pago Unico"/>
    <m/>
    <m/>
    <s v="Gastos del mes debitables"/>
    <n v="2"/>
    <x v="3"/>
    <n v="2"/>
    <m/>
  </r>
  <r>
    <x v="33"/>
    <s v="Claro"/>
    <n v="8000"/>
    <s v="Subscripción"/>
    <s v="Gasto"/>
    <s v="Pago Unico"/>
    <m/>
    <m/>
    <s v="Gastos del mes debitables"/>
    <n v="2"/>
    <x v="3"/>
    <n v="2"/>
    <m/>
  </r>
  <r>
    <x v="33"/>
    <s v="Rolo"/>
    <n v="5542"/>
    <s v="Creditos"/>
    <s v="Gasto"/>
    <s v="En Cuotas"/>
    <n v="6"/>
    <n v="3"/>
    <s v="Gastos del mes debitables"/>
    <n v="2"/>
    <x v="3"/>
    <n v="2"/>
    <s v="uala"/>
  </r>
  <r>
    <x v="33"/>
    <s v="Spotify"/>
    <n v="4350"/>
    <s v="Subscripción"/>
    <s v="Gasto"/>
    <s v="Pago Unico"/>
    <m/>
    <m/>
    <s v="Gastos del mes debitables"/>
    <n v="2"/>
    <x v="3"/>
    <n v="2"/>
    <m/>
  </r>
  <r>
    <x v="33"/>
    <s v="Google"/>
    <n v="3680"/>
    <s v="Subscripción"/>
    <s v="Gasto"/>
    <s v="Pago Unico"/>
    <m/>
    <m/>
    <s v="Gastos del mes debitables"/>
    <n v="2"/>
    <x v="3"/>
    <n v="2"/>
    <m/>
  </r>
  <r>
    <x v="33"/>
    <s v="Meli"/>
    <n v="3490"/>
    <s v="Subscripción"/>
    <s v="Gasto"/>
    <s v="Pago Unico"/>
    <m/>
    <m/>
    <s v="Gastos del mes debitables"/>
    <n v="2"/>
    <x v="3"/>
    <n v="2"/>
    <s v="uala"/>
  </r>
  <r>
    <x v="33"/>
    <s v="Youtube"/>
    <n v="2158"/>
    <s v="Subscripción"/>
    <s v="Gasto"/>
    <s v="Pago Unico"/>
    <m/>
    <m/>
    <s v="Gastos del mes debitables"/>
    <n v="2"/>
    <x v="3"/>
    <n v="2"/>
    <m/>
  </r>
  <r>
    <x v="33"/>
    <s v="Findes"/>
    <n v="0"/>
    <s v="Comida"/>
    <s v="Gasto"/>
    <s v="Pago Unico"/>
    <m/>
    <m/>
    <s v="Gastos del mes debitables"/>
    <n v="2"/>
    <x v="3"/>
    <n v="2"/>
    <m/>
  </r>
  <r>
    <x v="34"/>
    <s v="Trabajo"/>
    <n v="3360750"/>
    <s v="Ingreso"/>
    <s v="Ingreso"/>
    <s v="Cobro"/>
    <m/>
    <m/>
    <s v="Cobro Mensual"/>
    <n v="4"/>
    <x v="1"/>
    <n v="4"/>
    <m/>
  </r>
  <r>
    <x v="34"/>
    <s v="CuotaJuan"/>
    <n v="450000"/>
    <s v="Juan"/>
    <s v="Gasto"/>
    <s v="Pago Unico"/>
    <m/>
    <m/>
    <s v="Gastos del mes debitables"/>
    <n v="2"/>
    <x v="3"/>
    <n v="2"/>
    <m/>
  </r>
  <r>
    <x v="34"/>
    <s v="Auto"/>
    <n v="431000"/>
    <s v="Auto"/>
    <s v="Gasto"/>
    <s v="En Cuotas"/>
    <n v="48"/>
    <n v="7"/>
    <s v="Gastos del mes debitables"/>
    <n v="2"/>
    <x v="3"/>
    <n v="2"/>
    <s v="Papi"/>
  </r>
  <r>
    <x v="34"/>
    <s v="Comida Mes"/>
    <n v="320000"/>
    <s v="Comida"/>
    <s v="Gasto"/>
    <s v="Pago Unico"/>
    <m/>
    <m/>
    <s v="Gastos del mes debitables"/>
    <n v="2"/>
    <x v="3"/>
    <n v="2"/>
    <m/>
  </r>
  <r>
    <x v="34"/>
    <s v="Obra Social"/>
    <n v="234786"/>
    <s v="Salud"/>
    <s v="Gasto"/>
    <s v="Pago Unico"/>
    <m/>
    <m/>
    <s v="Gastos del mes debitables"/>
    <n v="2"/>
    <x v="3"/>
    <n v="2"/>
    <m/>
  </r>
  <r>
    <x v="34"/>
    <s v="Monotributo"/>
    <n v="216389"/>
    <s v="Monotributo"/>
    <s v="Gasto"/>
    <s v="Pago Unico"/>
    <m/>
    <m/>
    <s v="Gastos del mes debitables"/>
    <n v="2"/>
    <x v="3"/>
    <n v="2"/>
    <m/>
  </r>
  <r>
    <x v="34"/>
    <s v="Alquiler"/>
    <n v="194350"/>
    <s v="Depto"/>
    <s v="Gasto"/>
    <s v="Pago Unico"/>
    <m/>
    <m/>
    <s v="Gastos del mes pagar Papi"/>
    <n v="1"/>
    <x v="3"/>
    <n v="2"/>
    <m/>
  </r>
  <r>
    <x v="34"/>
    <s v="Super"/>
    <n v="150000"/>
    <s v="Comida"/>
    <s v="Gasto"/>
    <s v="Pago Unico"/>
    <m/>
    <m/>
    <s v="Gastos del mes debitables"/>
    <n v="2"/>
    <x v="3"/>
    <n v="2"/>
    <m/>
  </r>
  <r>
    <x v="34"/>
    <s v="Expensas"/>
    <n v="128800"/>
    <s v="Depto"/>
    <s v="Gasto"/>
    <s v="Pago Unico"/>
    <m/>
    <m/>
    <s v="Gastos del mes pagar Papi"/>
    <n v="1"/>
    <x v="3"/>
    <n v="2"/>
    <m/>
  </r>
  <r>
    <x v="34"/>
    <s v="Cochera"/>
    <n v="112000"/>
    <s v="Auto"/>
    <s v="Gasto"/>
    <s v="Pago Unico"/>
    <m/>
    <m/>
    <s v="Gastos del mes debitables"/>
    <n v="2"/>
    <x v="3"/>
    <n v="2"/>
    <m/>
  </r>
  <r>
    <x v="34"/>
    <s v="Seguro Auto"/>
    <n v="60067"/>
    <s v="Auto"/>
    <s v="Gasto"/>
    <s v="Pago Unico"/>
    <m/>
    <m/>
    <s v="Gastos del mes debitables"/>
    <n v="2"/>
    <x v="3"/>
    <n v="2"/>
    <m/>
  </r>
  <r>
    <x v="34"/>
    <s v="Gym        "/>
    <n v="44000"/>
    <s v="Salud"/>
    <s v="Gasto"/>
    <s v="Pago Unico"/>
    <m/>
    <m/>
    <s v="Gastos del mes pagar Papi"/>
    <n v="1"/>
    <x v="3"/>
    <n v="2"/>
    <m/>
  </r>
  <r>
    <x v="34"/>
    <s v="Bmx"/>
    <n v="40000"/>
    <s v="Juan"/>
    <s v="Gasto"/>
    <s v="Pago Unico"/>
    <m/>
    <m/>
    <s v="Gastos del mes debitables"/>
    <n v="2"/>
    <x v="3"/>
    <n v="2"/>
    <m/>
  </r>
  <r>
    <x v="34"/>
    <s v="Carrera"/>
    <n v="38000"/>
    <s v="Juan"/>
    <s v="Gasto"/>
    <s v="Pago Unico"/>
    <m/>
    <m/>
    <s v="Gastos del mes pagar Papi"/>
    <n v="1"/>
    <x v="3"/>
    <n v="2"/>
    <m/>
  </r>
  <r>
    <x v="34"/>
    <s v="Multa"/>
    <n v="35000"/>
    <s v="Otros"/>
    <s v="Gasto"/>
    <s v="En Cuotas"/>
    <n v="6"/>
    <n v="3"/>
    <s v="Gastos del mes pagar Papi"/>
    <n v="1"/>
    <x v="3"/>
    <n v="2"/>
    <s v="Papi"/>
  </r>
  <r>
    <x v="34"/>
    <s v="Mother"/>
    <n v="28279"/>
    <s v="Creditos"/>
    <s v="Gasto"/>
    <s v="En Cuotas"/>
    <n v="3"/>
    <n v="12"/>
    <s v="Gastos del mes debitables"/>
    <n v="2"/>
    <x v="3"/>
    <n v="2"/>
    <s v="uala"/>
  </r>
  <r>
    <x v="34"/>
    <s v="Xbox"/>
    <n v="18450"/>
    <s v="Subscripción"/>
    <s v="Gasto"/>
    <s v="Pago Unico"/>
    <m/>
    <m/>
    <s v="Gastos del mes debitables"/>
    <n v="2"/>
    <x v="3"/>
    <n v="2"/>
    <m/>
  </r>
  <r>
    <x v="34"/>
    <s v="Luz"/>
    <n v="16809"/>
    <s v="Servicios"/>
    <s v="Gasto"/>
    <s v="Pago Unico"/>
    <m/>
    <m/>
    <s v="Gastos del mes pagar Papi"/>
    <n v="1"/>
    <x v="3"/>
    <n v="2"/>
    <m/>
  </r>
  <r>
    <x v="34"/>
    <s v="Internet"/>
    <n v="10000"/>
    <s v="Servicios"/>
    <s v="Gasto"/>
    <s v="Pago Unico"/>
    <m/>
    <m/>
    <s v="Gastos del mes pagar Papi"/>
    <n v="1"/>
    <x v="3"/>
    <n v="2"/>
    <m/>
  </r>
  <r>
    <x v="34"/>
    <s v="Max"/>
    <n v="9765"/>
    <s v="Subscripción"/>
    <s v="Gasto"/>
    <s v="Pago Unico"/>
    <m/>
    <m/>
    <s v="Gastos del mes debitables"/>
    <n v="2"/>
    <x v="3"/>
    <n v="2"/>
    <m/>
  </r>
  <r>
    <x v="34"/>
    <s v="Claro"/>
    <n v="8000"/>
    <s v="Subscripción"/>
    <s v="Gasto"/>
    <s v="Pago Unico"/>
    <m/>
    <m/>
    <s v="Gastos del mes debitables"/>
    <n v="2"/>
    <x v="3"/>
    <n v="2"/>
    <m/>
  </r>
  <r>
    <x v="34"/>
    <s v="Rolo"/>
    <n v="5542"/>
    <s v="Creditos"/>
    <s v="Gasto"/>
    <s v="En Cuotas"/>
    <n v="6"/>
    <n v="4"/>
    <s v="Gastos del mes debitables"/>
    <n v="2"/>
    <x v="3"/>
    <n v="2"/>
    <s v="uala"/>
  </r>
  <r>
    <x v="34"/>
    <s v="Spotify"/>
    <n v="4350"/>
    <s v="Subscripción"/>
    <s v="Gasto"/>
    <s v="Pago Unico"/>
    <m/>
    <m/>
    <s v="Gastos del mes debitables"/>
    <n v="2"/>
    <x v="3"/>
    <n v="2"/>
    <m/>
  </r>
  <r>
    <x v="34"/>
    <s v="Google"/>
    <n v="3680"/>
    <s v="Subscripción"/>
    <s v="Gasto"/>
    <s v="Pago Unico"/>
    <m/>
    <m/>
    <s v="Gastos del mes debitables"/>
    <n v="2"/>
    <x v="3"/>
    <n v="2"/>
    <m/>
  </r>
  <r>
    <x v="34"/>
    <s v="Meli"/>
    <n v="3490"/>
    <s v="Subscripción"/>
    <s v="Gasto"/>
    <s v="Pago Unico"/>
    <m/>
    <m/>
    <s v="Gastos del mes debitables"/>
    <n v="2"/>
    <x v="3"/>
    <n v="2"/>
    <s v="uala"/>
  </r>
  <r>
    <x v="34"/>
    <s v="Youtube"/>
    <n v="2158"/>
    <s v="Subscripción"/>
    <s v="Gasto"/>
    <s v="Pago Unico"/>
    <m/>
    <m/>
    <s v="Gastos del mes debitables"/>
    <n v="2"/>
    <x v="3"/>
    <n v="2"/>
    <m/>
  </r>
  <r>
    <x v="34"/>
    <s v="Findes"/>
    <n v="0"/>
    <s v="Comida"/>
    <s v="Gasto"/>
    <s v="Pago Unico"/>
    <m/>
    <m/>
    <s v="Gastos del mes debitables"/>
    <n v="2"/>
    <x v="3"/>
    <n v="2"/>
    <m/>
  </r>
  <r>
    <x v="35"/>
    <s v="Trabajo"/>
    <n v="3360750"/>
    <s v="Ingreso"/>
    <s v="Ingreso"/>
    <s v="Cobro"/>
    <m/>
    <m/>
    <s v="Cobro Mensual"/>
    <n v="4"/>
    <x v="1"/>
    <n v="4"/>
    <m/>
  </r>
  <r>
    <x v="35"/>
    <s v="CuotaJuan"/>
    <n v="450000"/>
    <s v="Juan"/>
    <s v="Gasto"/>
    <s v="Pago Unico"/>
    <m/>
    <m/>
    <s v="Gastos del mes debitables"/>
    <n v="2"/>
    <x v="3"/>
    <n v="2"/>
    <m/>
  </r>
  <r>
    <x v="35"/>
    <s v="Auto"/>
    <n v="431000"/>
    <s v="Auto"/>
    <s v="Gasto"/>
    <s v="En Cuotas"/>
    <n v="48"/>
    <n v="15"/>
    <s v="Gastos del mes debitables"/>
    <n v="2"/>
    <x v="3"/>
    <n v="2"/>
    <s v="Papi"/>
  </r>
  <r>
    <x v="35"/>
    <s v="Comida Mes"/>
    <n v="320000"/>
    <s v="Comida"/>
    <s v="Gasto"/>
    <s v="Pago Unico"/>
    <m/>
    <m/>
    <s v="Gastos del mes debitables"/>
    <n v="2"/>
    <x v="3"/>
    <n v="2"/>
    <m/>
  </r>
  <r>
    <x v="35"/>
    <s v="Obra Social"/>
    <n v="234786"/>
    <s v="Salud"/>
    <s v="Gasto"/>
    <s v="Pago Unico"/>
    <m/>
    <m/>
    <s v="Gastos del mes debitables"/>
    <n v="2"/>
    <x v="3"/>
    <n v="2"/>
    <m/>
  </r>
  <r>
    <x v="35"/>
    <s v="Monotributo"/>
    <n v="216389"/>
    <s v="Monotributo"/>
    <s v="Gasto"/>
    <s v="Pago Unico"/>
    <m/>
    <m/>
    <s v="Gastos del mes debitables"/>
    <n v="2"/>
    <x v="3"/>
    <n v="2"/>
    <m/>
  </r>
  <r>
    <x v="35"/>
    <s v="Alquiler"/>
    <n v="490000"/>
    <s v="Depto"/>
    <s v="Gasto"/>
    <s v="Pago Unico"/>
    <m/>
    <m/>
    <s v="Gastos del mes pagar Papi"/>
    <n v="1"/>
    <x v="3"/>
    <n v="2"/>
    <m/>
  </r>
  <r>
    <x v="35"/>
    <s v="Super"/>
    <n v="150000"/>
    <s v="Comida"/>
    <s v="Gasto"/>
    <s v="Pago Unico"/>
    <m/>
    <m/>
    <s v="Gastos del mes debitables"/>
    <n v="2"/>
    <x v="3"/>
    <n v="2"/>
    <m/>
  </r>
  <r>
    <x v="35"/>
    <s v="Expensas"/>
    <n v="57000"/>
    <s v="Depto"/>
    <s v="Gasto"/>
    <s v="Pago Unico"/>
    <m/>
    <m/>
    <s v="Gastos del mes pagar Papi"/>
    <n v="1"/>
    <x v="3"/>
    <n v="2"/>
    <m/>
  </r>
  <r>
    <x v="35"/>
    <s v="Cochera"/>
    <m/>
    <s v="Auto"/>
    <s v="Gasto"/>
    <s v="Pago Unico"/>
    <m/>
    <m/>
    <s v="Gastos del mes debitables"/>
    <n v="2"/>
    <x v="3"/>
    <n v="2"/>
    <m/>
  </r>
  <r>
    <x v="35"/>
    <s v="Seguro Auto"/>
    <n v="60067"/>
    <s v="Auto"/>
    <s v="Gasto"/>
    <s v="Pago Unico"/>
    <m/>
    <m/>
    <s v="Gastos del mes debitables"/>
    <n v="2"/>
    <x v="3"/>
    <n v="2"/>
    <m/>
  </r>
  <r>
    <x v="35"/>
    <s v="Gym        "/>
    <n v="44000"/>
    <s v="Salud"/>
    <s v="Gasto"/>
    <s v="Pago Unico"/>
    <m/>
    <m/>
    <s v="Gastos del mes pagar Papi"/>
    <n v="1"/>
    <x v="3"/>
    <n v="2"/>
    <m/>
  </r>
  <r>
    <x v="35"/>
    <s v="Bmx"/>
    <n v="40000"/>
    <s v="Juan"/>
    <s v="Gasto"/>
    <s v="Pago Unico"/>
    <m/>
    <m/>
    <s v="Gastos del mes debitables"/>
    <n v="2"/>
    <x v="3"/>
    <n v="2"/>
    <m/>
  </r>
  <r>
    <x v="35"/>
    <s v="Carrera"/>
    <n v="38000"/>
    <s v="Juan"/>
    <s v="Gasto"/>
    <s v="Pago Unico"/>
    <m/>
    <m/>
    <s v="Gastos del mes pagar Papi"/>
    <n v="1"/>
    <x v="3"/>
    <n v="2"/>
    <m/>
  </r>
  <r>
    <x v="35"/>
    <s v="Multa"/>
    <n v="35000"/>
    <s v="Otros"/>
    <s v="Gasto"/>
    <s v="En Cuotas"/>
    <n v="6"/>
    <n v="4"/>
    <s v="Gastos del mes pagar Papi"/>
    <n v="1"/>
    <x v="3"/>
    <n v="2"/>
    <s v="Papi"/>
  </r>
  <r>
    <x v="35"/>
    <s v="Mother"/>
    <n v="28279"/>
    <s v="Creditos"/>
    <s v="Gasto"/>
    <s v="En Cuotas"/>
    <n v="12"/>
    <n v="4"/>
    <s v="Gastos del mes debitables"/>
    <n v="2"/>
    <x v="3"/>
    <n v="2"/>
    <s v="uala"/>
  </r>
  <r>
    <x v="35"/>
    <s v="Xbox"/>
    <n v="18450"/>
    <s v="Subscripción"/>
    <s v="Gasto"/>
    <s v="Pago Unico"/>
    <m/>
    <m/>
    <s v="Gastos del mes debitables"/>
    <n v="2"/>
    <x v="3"/>
    <n v="2"/>
    <m/>
  </r>
  <r>
    <x v="35"/>
    <s v="Luz"/>
    <n v="16809"/>
    <s v="Servicios"/>
    <s v="Gasto"/>
    <s v="Pago Unico"/>
    <m/>
    <m/>
    <s v="Gastos del mes pagar Papi"/>
    <n v="1"/>
    <x v="3"/>
    <n v="2"/>
    <m/>
  </r>
  <r>
    <x v="35"/>
    <s v="Internet"/>
    <n v="10000"/>
    <s v="Servicios"/>
    <s v="Gasto"/>
    <s v="Pago Unico"/>
    <m/>
    <m/>
    <s v="Gastos del mes pagar Papi"/>
    <n v="1"/>
    <x v="3"/>
    <n v="2"/>
    <m/>
  </r>
  <r>
    <x v="35"/>
    <s v="Max"/>
    <n v="9765"/>
    <s v="Subscripción"/>
    <s v="Gasto"/>
    <s v="Pago Unico"/>
    <m/>
    <m/>
    <s v="Gastos del mes debitables"/>
    <n v="2"/>
    <x v="3"/>
    <n v="2"/>
    <m/>
  </r>
  <r>
    <x v="35"/>
    <s v="Claro"/>
    <n v="8000"/>
    <s v="Subscripción"/>
    <s v="Gasto"/>
    <s v="Pago Unico"/>
    <m/>
    <m/>
    <s v="Gastos del mes debitables"/>
    <n v="2"/>
    <x v="3"/>
    <n v="2"/>
    <m/>
  </r>
  <r>
    <x v="35"/>
    <s v="Rolo"/>
    <n v="5542"/>
    <s v="Creditos"/>
    <s v="Gasto"/>
    <s v="En Cuotas"/>
    <n v="6"/>
    <n v="5"/>
    <s v="Gastos del mes debitables"/>
    <n v="2"/>
    <x v="3"/>
    <n v="2"/>
    <s v="uala"/>
  </r>
  <r>
    <x v="35"/>
    <s v="Spotify"/>
    <n v="4350"/>
    <s v="Subscripción"/>
    <s v="Gasto"/>
    <s v="Pago Unico"/>
    <m/>
    <m/>
    <s v="Gastos del mes debitables"/>
    <n v="2"/>
    <x v="3"/>
    <n v="2"/>
    <m/>
  </r>
  <r>
    <x v="35"/>
    <s v="Google"/>
    <n v="3680"/>
    <s v="Subscripción"/>
    <s v="Gasto"/>
    <s v="Pago Unico"/>
    <m/>
    <m/>
    <s v="Gastos del mes debitables"/>
    <n v="2"/>
    <x v="3"/>
    <n v="2"/>
    <m/>
  </r>
  <r>
    <x v="35"/>
    <s v="Meli"/>
    <n v="3490"/>
    <s v="Subscripción"/>
    <s v="Gasto"/>
    <s v="Pago Unico"/>
    <m/>
    <m/>
    <s v="Gastos del mes debitables"/>
    <n v="2"/>
    <x v="3"/>
    <n v="2"/>
    <s v="uala"/>
  </r>
  <r>
    <x v="35"/>
    <s v="Youtube"/>
    <n v="2158"/>
    <s v="Subscripción"/>
    <s v="Gasto"/>
    <s v="Pago Unico"/>
    <m/>
    <m/>
    <s v="Gastos del mes debitables"/>
    <n v="2"/>
    <x v="3"/>
    <n v="2"/>
    <m/>
  </r>
  <r>
    <x v="35"/>
    <s v="Findes"/>
    <n v="0"/>
    <s v="Comida"/>
    <s v="Gasto"/>
    <s v="Pago Unico"/>
    <m/>
    <m/>
    <s v="Gastos del mes debitables"/>
    <n v="2"/>
    <x v="3"/>
    <n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D10" firstHeaderRow="1" firstDataRow="2" firstDataCol="1"/>
  <pivotFields count="15">
    <pivotField axis="axisRow" multipleItemSelectionAllowed="1" showAll="0">
      <items count="15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x="10"/>
        <item x="11"/>
        <item h="1" x="12"/>
        <item h="1" x="1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3"/>
        <item x="1"/>
        <item x="2"/>
        <item x="5"/>
        <item x="0"/>
        <item x="4"/>
        <item t="default"/>
      </items>
    </pivotField>
    <pivotField showAll="0"/>
    <pivotField showAll="0"/>
    <pivotField showAll="0" defaultSubtotal="0">
      <items count="6">
        <item sd="0" x="0"/>
        <item sd="0" x="1"/>
        <item sd="0" x="2"/>
        <item x="3"/>
        <item x="4"/>
        <item x="5"/>
      </items>
    </pivotField>
    <pivotField axis="axisRow" multipleItemSelectionAllowed="1" showAll="0" defaultSubtotal="0">
      <items count="5">
        <item h="1" sd="0" x="0"/>
        <item h="1" sd="0" x="1"/>
        <item h="1" sd="0" x="2"/>
        <item x="3"/>
        <item h="1" x="4"/>
      </items>
    </pivotField>
  </pivotFields>
  <rowFields count="2">
    <field x="14"/>
    <field x="0"/>
  </rowFields>
  <rowItems count="5">
    <i>
      <x v="3"/>
    </i>
    <i r="1">
      <x v="9"/>
    </i>
    <i r="1">
      <x v="10"/>
    </i>
    <i r="1">
      <x v="11"/>
    </i>
    <i t="grand">
      <x/>
    </i>
  </rowItems>
  <colFields count="1">
    <field x="10"/>
  </colFields>
  <colItems count="3">
    <i>
      <x/>
    </i>
    <i>
      <x v="1"/>
    </i>
    <i t="grand">
      <x/>
    </i>
  </colItems>
  <dataFields count="1">
    <dataField name="Suma de Importe" fld="2" baseField="11" baseItem="1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Cuentas_personales" displayName="Cuentas_personales" ref="A1:M839" totalsRowShown="0">
  <autoFilter ref="A1:M839">
    <filterColumn colId="0">
      <filters>
        <dateGroupItem year="2026" month="9" dateTimeGrouping="month"/>
        <dateGroupItem year="2026" month="10" dateTimeGrouping="month"/>
      </filters>
    </filterColumn>
  </autoFilter>
  <sortState ref="A755:M809">
    <sortCondition ref="A1:A809"/>
  </sortState>
  <tableColumns count="13">
    <tableColumn id="1" name="MesAnio"/>
    <tableColumn id="2" name="Item" dataDxfId="27"/>
    <tableColumn id="3" name="Importe" dataDxfId="26" dataCellStyle="Moneda"/>
    <tableColumn id="4" name="Rubro"/>
    <tableColumn id="5" name="Condición"/>
    <tableColumn id="10" name="Cuotas"/>
    <tableColumn id="8" name="Cant de Cuotas"/>
    <tableColumn id="6" name="Nro Cuota"/>
    <tableColumn id="11" name="Detalle fijo" dataDxfId="25">
      <calculatedColumnFormula>IF(Cuentas_personales[[#This Row],[Fijo]]=$M$2,N$2,IF(Cuentas_personales[[#This Row],[Fijo]]=$M$3,$N$3,IF(Cuentas_personales[[#This Row],[Fijo]]=$M$4,$N$4,IF(Cuentas_personales[[#This Row],[Fijo]]=$M$5,$N$5,"Nii"))))</calculatedColumnFormula>
    </tableColumn>
    <tableColumn id="7" name="Fijo"/>
    <tableColumn id="13" name="Cond de Pago" dataDxfId="24">
      <calculatedColumnFormula>IF(Cuentas_personales[[#This Row],[Pagado]]=$M$2,O$2,IF(Cuentas_personales[[#This Row],[Pagado]]=$M$3,$O$3,IF(Cuentas_personales[[#This Row],[Pagado]]=$M$4,$O$4,IF(Cuentas_personales[[#This Row],[Pagado]]=$M$5,$O$5,"Nii"))))</calculatedColumnFormula>
    </tableColumn>
    <tableColumn id="9" name="Pagado"/>
    <tableColumn id="12" name="Cuotas en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4" name="Tabla4" displayName="Tabla4" ref="A2:E18" totalsRowShown="0">
  <autoFilter ref="A2:E18"/>
  <tableColumns count="5">
    <tableColumn id="1" name="Mes" dataDxfId="23"/>
    <tableColumn id="2" name="Item"/>
    <tableColumn id="5" name="Mes|Item" dataDxfId="22">
      <calculatedColumnFormula>TEXT(Tabla4[[#This Row],[Mes]],"mm/yyyy")&amp;"|"&amp;Tabla4[[#This Row],[Item]]</calculatedColumnFormula>
    </tableColumn>
    <tableColumn id="4" name="Valor real" dataDxfId="21">
      <calculatedColumnFormula>VLOOKUP(Tabla4[[#This Row],[Mes|Item]],#REF!,1,TRUE)</calculatedColumnFormula>
    </tableColumn>
    <tableColumn id="3" name="Valor" dataDxfId="20"/>
  </tableColumns>
  <tableStyleInfo name="TableStyleLight3" showFirstColumn="0" showLastColumn="0" showRowStripes="1" showColumnStripes="0"/>
</table>
</file>

<file path=xl/tables/table3.xml><?xml version="1.0" encoding="utf-8"?>
<table xmlns="http://schemas.openxmlformats.org/spreadsheetml/2006/main" id="5" name="Tabla5" displayName="Tabla5" ref="G6:M24" totalsRowShown="0" headerRowDxfId="19">
  <autoFilter ref="G6:M24"/>
  <tableColumns count="7">
    <tableColumn id="7" name="N°"/>
    <tableColumn id="1" name="Mes" dataDxfId="18"/>
    <tableColumn id="2" name="Valor Base" dataDxfId="17"/>
    <tableColumn id="3" name="Declarado" dataDxfId="16"/>
    <tableColumn id="4" name="Porcentaje" dataDxfId="15" dataCellStyle="Porcentaje"/>
    <tableColumn id="5" name="Total Pago" dataDxfId="14">
      <calculatedColumnFormula>K7*J7</calculatedColumnFormula>
    </tableColumn>
    <tableColumn id="6" name="%Total" dataDxfId="13" dataCellStyle="Porcentaje">
      <calculatedColumnFormula>L7/I7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id="2" name="Tabla2" displayName="Tabla2" ref="A1:J46" totalsRowShown="0">
  <autoFilter ref="A1:J46"/>
  <sortState ref="B2:G46">
    <sortCondition ref="D1:D46"/>
  </sortState>
  <tableColumns count="10">
    <tableColumn id="7" name="Año" dataDxfId="12"/>
    <tableColumn id="1" name="Pago N°:"/>
    <tableColumn id="2" name="Estado:"/>
    <tableColumn id="3" name="Fecha depósito" dataDxfId="11"/>
    <tableColumn id="4" name="Meses incluidos en el pago"/>
    <tableColumn id="5" name="Descuentos por cuotas cobradas de Progresar"/>
    <tableColumn id="6" name="Sucursal Banco Nación:"/>
    <tableColumn id="8" name="Monto" dataDxfId="10"/>
    <tableColumn id="9" name="Aumento" dataDxfId="9">
      <calculatedColumnFormula>(H2/H$2)</calculatedColumnFormula>
    </tableColumn>
    <tableColumn id="10" name="Aum Relativo" dataDxfId="8">
      <calculatedColumnFormula>Tabla2[[#This Row],[Monto]]/H1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3" name="Tabla3" displayName="Tabla3" ref="A1:H9" totalsRowCount="1">
  <autoFilter ref="A1:H8"/>
  <sortState ref="A2:H8">
    <sortCondition ref="H1:H8"/>
  </sortState>
  <tableColumns count="8">
    <tableColumn id="1" name="Item"/>
    <tableColumn id="2" name="Cant Cuotas"/>
    <tableColumn id="3" name="Cuota Actual"/>
    <tableColumn id="4" name="Valor" totalsRowFunction="sum" dataDxfId="7" totalsRowDxfId="6"/>
    <tableColumn id="8" name="Valor total" totalsRowFunction="sum" dataDxfId="5" totalsRowDxfId="4">
      <calculatedColumnFormula>Tabla3[[#This Row],[Valor]]*Tabla3[[#This Row],[Cant Cuotas]]</calculatedColumnFormula>
    </tableColumn>
    <tableColumn id="5" name="Fecha inicio" dataDxfId="3" totalsRowDxfId="2"/>
    <tableColumn id="6" name="Fecha fin" dataDxfId="1" totalsRowDxfId="0">
      <calculatedColumnFormula>EDATE(F2,(B2-C2))</calculatedColumnFormula>
    </tableColumn>
    <tableColumn id="7" name="Faltan meses">
      <calculatedColumnFormula>B2-C2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9"/>
  <sheetViews>
    <sheetView tabSelected="1" topLeftCell="A759" workbookViewId="0">
      <selection activeCell="M784" sqref="M784"/>
    </sheetView>
  </sheetViews>
  <sheetFormatPr baseColWidth="10" defaultColWidth="11.44140625" defaultRowHeight="14.4" x14ac:dyDescent="0.3"/>
  <cols>
    <col min="1" max="1" width="11.33203125" bestFit="1" customWidth="1"/>
    <col min="2" max="2" width="15" bestFit="1" customWidth="1"/>
    <col min="3" max="3" width="12.44140625" customWidth="1"/>
    <col min="4" max="4" width="12.33203125" bestFit="1" customWidth="1"/>
    <col min="5" max="5" width="12.109375" bestFit="1" customWidth="1"/>
    <col min="6" max="6" width="10.6640625" bestFit="1" customWidth="1"/>
    <col min="7" max="7" width="16.44140625" style="11" bestFit="1" customWidth="1"/>
    <col min="8" max="8" width="12.109375" bestFit="1" customWidth="1"/>
    <col min="9" max="9" width="29.88671875" bestFit="1" customWidth="1"/>
    <col min="10" max="10" width="6.5546875" bestFit="1" customWidth="1"/>
    <col min="11" max="11" width="15.33203125" bestFit="1" customWidth="1"/>
    <col min="12" max="12" width="9.6640625" bestFit="1" customWidth="1"/>
    <col min="13" max="13" width="12" bestFit="1" customWidth="1"/>
    <col min="14" max="14" width="29.88671875" bestFit="1" customWidth="1"/>
    <col min="15" max="15" width="19.44140625" bestFit="1" customWidth="1"/>
  </cols>
  <sheetData>
    <row r="1" spans="1:15" x14ac:dyDescent="0.3">
      <c r="A1" t="s">
        <v>0</v>
      </c>
      <c r="B1" s="1" t="s">
        <v>1</v>
      </c>
      <c r="C1" s="10" t="s">
        <v>2</v>
      </c>
      <c r="D1" t="s">
        <v>3</v>
      </c>
      <c r="E1" t="s">
        <v>4</v>
      </c>
      <c r="F1" t="s">
        <v>5</v>
      </c>
      <c r="G1" t="s">
        <v>6</v>
      </c>
      <c r="H1" s="11" t="s">
        <v>7</v>
      </c>
      <c r="I1" s="1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s="9">
        <v>45292</v>
      </c>
      <c r="B2" s="2" t="s">
        <v>15</v>
      </c>
      <c r="C2" s="10">
        <v>78000</v>
      </c>
      <c r="D2" t="s">
        <v>16</v>
      </c>
      <c r="E2" t="str">
        <f t="shared" ref="E2:E33" si="0">IF(B2="Trabajo","Ingreso",IF(B2="Beca","Ingreso","Gasto"))</f>
        <v>Gasto</v>
      </c>
      <c r="G2"/>
      <c r="I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">
        <v>1</v>
      </c>
      <c r="M2">
        <v>1</v>
      </c>
      <c r="N2" t="s">
        <v>17</v>
      </c>
      <c r="O2" t="s">
        <v>11</v>
      </c>
    </row>
    <row r="3" spans="1:15" hidden="1" x14ac:dyDescent="0.3">
      <c r="A3" s="9">
        <v>45292</v>
      </c>
      <c r="B3" s="2" t="s">
        <v>18</v>
      </c>
      <c r="C3" s="10">
        <v>29000</v>
      </c>
      <c r="D3" t="s">
        <v>19</v>
      </c>
      <c r="E3" t="str">
        <f t="shared" si="0"/>
        <v>Gasto</v>
      </c>
      <c r="G3"/>
      <c r="I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">
        <v>1</v>
      </c>
      <c r="M3">
        <v>2</v>
      </c>
      <c r="N3" t="s">
        <v>20</v>
      </c>
      <c r="O3" t="s">
        <v>21</v>
      </c>
    </row>
    <row r="4" spans="1:15" hidden="1" x14ac:dyDescent="0.3">
      <c r="A4" s="9">
        <v>45292</v>
      </c>
      <c r="B4" s="2" t="s">
        <v>22</v>
      </c>
      <c r="C4" s="10">
        <v>1100</v>
      </c>
      <c r="D4" t="s">
        <v>23</v>
      </c>
      <c r="E4" t="str">
        <f t="shared" si="0"/>
        <v>Gasto</v>
      </c>
      <c r="G4"/>
      <c r="I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">
        <v>1</v>
      </c>
      <c r="M4">
        <v>3</v>
      </c>
      <c r="N4" t="s">
        <v>24</v>
      </c>
      <c r="O4" t="s">
        <v>25</v>
      </c>
    </row>
    <row r="5" spans="1:15" hidden="1" x14ac:dyDescent="0.3">
      <c r="A5" s="9">
        <v>45292</v>
      </c>
      <c r="B5" s="2" t="s">
        <v>26</v>
      </c>
      <c r="C5" s="10">
        <v>600</v>
      </c>
      <c r="D5" t="s">
        <v>27</v>
      </c>
      <c r="E5" t="str">
        <f t="shared" si="0"/>
        <v>Gasto</v>
      </c>
      <c r="G5"/>
      <c r="I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">
        <v>1</v>
      </c>
      <c r="M5">
        <v>4</v>
      </c>
      <c r="N5" t="s">
        <v>28</v>
      </c>
      <c r="O5" t="s">
        <v>28</v>
      </c>
    </row>
    <row r="6" spans="1:15" hidden="1" x14ac:dyDescent="0.3">
      <c r="A6" s="9">
        <v>45292</v>
      </c>
      <c r="B6" s="2" t="s">
        <v>29</v>
      </c>
      <c r="C6" s="10">
        <v>1200</v>
      </c>
      <c r="D6" t="s">
        <v>27</v>
      </c>
      <c r="E6" t="str">
        <f t="shared" si="0"/>
        <v>Gasto</v>
      </c>
      <c r="G6"/>
      <c r="I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">
        <v>1</v>
      </c>
    </row>
    <row r="7" spans="1:15" hidden="1" x14ac:dyDescent="0.3">
      <c r="A7" s="9">
        <v>45292</v>
      </c>
      <c r="B7" s="2" t="s">
        <v>30</v>
      </c>
      <c r="C7" s="10">
        <v>1500</v>
      </c>
      <c r="D7" t="s">
        <v>16</v>
      </c>
      <c r="E7" t="str">
        <f t="shared" si="0"/>
        <v>Gasto</v>
      </c>
      <c r="G7"/>
      <c r="I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">
        <v>1</v>
      </c>
    </row>
    <row r="8" spans="1:15" hidden="1" x14ac:dyDescent="0.3">
      <c r="A8" s="9">
        <v>45292</v>
      </c>
      <c r="B8" s="2" t="s">
        <v>31</v>
      </c>
      <c r="C8" s="10">
        <v>20000</v>
      </c>
      <c r="D8" t="s">
        <v>32</v>
      </c>
      <c r="E8" t="str">
        <f t="shared" si="0"/>
        <v>Gasto</v>
      </c>
      <c r="G8"/>
      <c r="I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">
        <v>1</v>
      </c>
    </row>
    <row r="9" spans="1:15" hidden="1" x14ac:dyDescent="0.3">
      <c r="A9" s="9">
        <v>45292</v>
      </c>
      <c r="B9" s="2" t="s">
        <v>33</v>
      </c>
      <c r="C9" s="10">
        <v>10100</v>
      </c>
      <c r="D9" t="s">
        <v>16</v>
      </c>
      <c r="E9" t="str">
        <f t="shared" si="0"/>
        <v>Gasto</v>
      </c>
      <c r="G9"/>
      <c r="I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">
        <v>1</v>
      </c>
    </row>
    <row r="10" spans="1:15" hidden="1" x14ac:dyDescent="0.3">
      <c r="A10" s="9">
        <v>45292</v>
      </c>
      <c r="B10" s="2" t="s">
        <v>34</v>
      </c>
      <c r="C10" s="10">
        <v>278885</v>
      </c>
      <c r="D10" t="s">
        <v>35</v>
      </c>
      <c r="E10" t="str">
        <f t="shared" si="0"/>
        <v>Ingreso</v>
      </c>
      <c r="G10"/>
      <c r="I1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">
        <v>1</v>
      </c>
    </row>
    <row r="11" spans="1:15" hidden="1" x14ac:dyDescent="0.3">
      <c r="A11" s="9">
        <v>45292</v>
      </c>
      <c r="B11" s="2" t="s">
        <v>36</v>
      </c>
      <c r="C11" s="10">
        <v>57433</v>
      </c>
      <c r="D11" t="s">
        <v>35</v>
      </c>
      <c r="E11" t="str">
        <f t="shared" si="0"/>
        <v>Ingreso</v>
      </c>
      <c r="G11"/>
      <c r="I1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">
        <v>1</v>
      </c>
    </row>
    <row r="12" spans="1:15" hidden="1" x14ac:dyDescent="0.3">
      <c r="A12" s="9">
        <v>45292</v>
      </c>
      <c r="B12" s="3" t="s">
        <v>37</v>
      </c>
      <c r="C12" s="10">
        <v>8300</v>
      </c>
      <c r="D12" t="s">
        <v>38</v>
      </c>
      <c r="E12" t="str">
        <f t="shared" si="0"/>
        <v>Gasto</v>
      </c>
      <c r="G12"/>
      <c r="I1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">
        <v>1</v>
      </c>
    </row>
    <row r="13" spans="1:15" hidden="1" x14ac:dyDescent="0.3">
      <c r="A13" s="9">
        <v>45323</v>
      </c>
      <c r="B13" s="2" t="s">
        <v>18</v>
      </c>
      <c r="C13" s="10">
        <v>31000</v>
      </c>
      <c r="D13" t="s">
        <v>19</v>
      </c>
      <c r="E13" t="str">
        <f t="shared" si="0"/>
        <v>Gasto</v>
      </c>
      <c r="G13"/>
      <c r="I1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">
        <v>1</v>
      </c>
    </row>
    <row r="14" spans="1:15" hidden="1" x14ac:dyDescent="0.3">
      <c r="A14" s="9">
        <v>45323</v>
      </c>
      <c r="B14" s="2" t="s">
        <v>15</v>
      </c>
      <c r="C14" s="10">
        <v>90000</v>
      </c>
      <c r="D14" t="s">
        <v>16</v>
      </c>
      <c r="E14" t="str">
        <f t="shared" si="0"/>
        <v>Gasto</v>
      </c>
      <c r="G14"/>
      <c r="I1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">
        <v>1</v>
      </c>
    </row>
    <row r="15" spans="1:15" hidden="1" x14ac:dyDescent="0.3">
      <c r="A15" s="9">
        <v>45323</v>
      </c>
      <c r="B15" s="2" t="s">
        <v>22</v>
      </c>
      <c r="C15" s="10">
        <v>1100</v>
      </c>
      <c r="D15" t="s">
        <v>23</v>
      </c>
      <c r="E15" t="str">
        <f t="shared" si="0"/>
        <v>Gasto</v>
      </c>
      <c r="G15"/>
      <c r="I1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">
        <v>1</v>
      </c>
    </row>
    <row r="16" spans="1:15" hidden="1" x14ac:dyDescent="0.3">
      <c r="A16" s="9">
        <v>45323</v>
      </c>
      <c r="B16" s="2" t="s">
        <v>39</v>
      </c>
      <c r="C16" s="10">
        <v>1500</v>
      </c>
      <c r="D16" t="s">
        <v>16</v>
      </c>
      <c r="E16" t="str">
        <f t="shared" si="0"/>
        <v>Gasto</v>
      </c>
      <c r="G16"/>
      <c r="I1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">
        <v>1</v>
      </c>
    </row>
    <row r="17" spans="1:12" hidden="1" x14ac:dyDescent="0.3">
      <c r="A17" s="9">
        <v>45323</v>
      </c>
      <c r="B17" s="2" t="s">
        <v>40</v>
      </c>
      <c r="C17" s="10">
        <v>13750</v>
      </c>
      <c r="D17" t="s">
        <v>41</v>
      </c>
      <c r="E17" t="str">
        <f t="shared" si="0"/>
        <v>Gasto</v>
      </c>
      <c r="G17"/>
      <c r="I1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">
        <v>1</v>
      </c>
    </row>
    <row r="18" spans="1:12" hidden="1" x14ac:dyDescent="0.3">
      <c r="A18" s="9">
        <v>45323</v>
      </c>
      <c r="B18" s="3" t="s">
        <v>37</v>
      </c>
      <c r="C18" s="10">
        <v>8300</v>
      </c>
      <c r="D18" t="s">
        <v>38</v>
      </c>
      <c r="E18" t="str">
        <f t="shared" si="0"/>
        <v>Gasto</v>
      </c>
      <c r="G18"/>
      <c r="I1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">
        <v>1</v>
      </c>
    </row>
    <row r="19" spans="1:12" hidden="1" x14ac:dyDescent="0.3">
      <c r="A19" s="9">
        <v>45323</v>
      </c>
      <c r="B19" s="3" t="s">
        <v>34</v>
      </c>
      <c r="C19" s="10">
        <v>411919</v>
      </c>
      <c r="D19" t="s">
        <v>35</v>
      </c>
      <c r="E19" t="str">
        <f t="shared" si="0"/>
        <v>Ingreso</v>
      </c>
      <c r="G19"/>
      <c r="I19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19">
        <v>4</v>
      </c>
      <c r="K1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">
        <v>1</v>
      </c>
    </row>
    <row r="20" spans="1:12" hidden="1" x14ac:dyDescent="0.3">
      <c r="A20" s="9">
        <v>45323</v>
      </c>
      <c r="B20" s="3" t="s">
        <v>36</v>
      </c>
      <c r="C20" s="10">
        <v>57433</v>
      </c>
      <c r="D20" t="s">
        <v>35</v>
      </c>
      <c r="E20" t="str">
        <f t="shared" si="0"/>
        <v>Ingreso</v>
      </c>
      <c r="G20"/>
      <c r="I2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0">
        <v>4</v>
      </c>
      <c r="K2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">
        <v>1</v>
      </c>
    </row>
    <row r="21" spans="1:12" hidden="1" x14ac:dyDescent="0.3">
      <c r="A21" s="9">
        <v>45352</v>
      </c>
      <c r="B21" s="2" t="s">
        <v>18</v>
      </c>
      <c r="C21" s="10">
        <v>31000</v>
      </c>
      <c r="D21" t="s">
        <v>19</v>
      </c>
      <c r="E21" t="str">
        <f t="shared" si="0"/>
        <v>Gasto</v>
      </c>
      <c r="G21"/>
      <c r="I2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">
        <v>1</v>
      </c>
    </row>
    <row r="22" spans="1:12" hidden="1" x14ac:dyDescent="0.3">
      <c r="A22" s="9">
        <v>45352</v>
      </c>
      <c r="B22" s="3" t="s">
        <v>15</v>
      </c>
      <c r="C22" s="10">
        <v>110000</v>
      </c>
      <c r="D22" t="s">
        <v>16</v>
      </c>
      <c r="E22" t="str">
        <f t="shared" si="0"/>
        <v>Gasto</v>
      </c>
      <c r="G22"/>
      <c r="I2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">
        <v>1</v>
      </c>
    </row>
    <row r="23" spans="1:12" hidden="1" x14ac:dyDescent="0.3">
      <c r="A23" s="9">
        <v>45352</v>
      </c>
      <c r="B23" s="3" t="s">
        <v>22</v>
      </c>
      <c r="C23" s="10">
        <v>1100</v>
      </c>
      <c r="D23" t="s">
        <v>23</v>
      </c>
      <c r="E23" t="str">
        <f t="shared" si="0"/>
        <v>Gasto</v>
      </c>
      <c r="G23"/>
      <c r="I2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">
        <v>1</v>
      </c>
    </row>
    <row r="24" spans="1:12" hidden="1" x14ac:dyDescent="0.3">
      <c r="A24" s="9">
        <v>45352</v>
      </c>
      <c r="B24" s="3" t="s">
        <v>42</v>
      </c>
      <c r="C24" s="10">
        <v>1500</v>
      </c>
      <c r="D24" t="s">
        <v>16</v>
      </c>
      <c r="E24" t="str">
        <f t="shared" si="0"/>
        <v>Gasto</v>
      </c>
      <c r="G24"/>
      <c r="I2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">
        <v>1</v>
      </c>
    </row>
    <row r="25" spans="1:12" hidden="1" x14ac:dyDescent="0.3">
      <c r="A25" s="9">
        <v>45352</v>
      </c>
      <c r="B25" s="3" t="s">
        <v>43</v>
      </c>
      <c r="C25" s="10">
        <v>8000</v>
      </c>
      <c r="D25" t="s">
        <v>16</v>
      </c>
      <c r="E25" t="str">
        <f t="shared" si="0"/>
        <v>Gasto</v>
      </c>
      <c r="G25"/>
      <c r="I2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">
        <v>1</v>
      </c>
    </row>
    <row r="26" spans="1:12" hidden="1" x14ac:dyDescent="0.3">
      <c r="A26" s="9">
        <v>45352</v>
      </c>
      <c r="B26" s="3" t="s">
        <v>44</v>
      </c>
      <c r="C26" s="10">
        <v>10000</v>
      </c>
      <c r="D26" t="s">
        <v>16</v>
      </c>
      <c r="E26" t="str">
        <f t="shared" si="0"/>
        <v>Gasto</v>
      </c>
      <c r="G26"/>
      <c r="I2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">
        <v>1</v>
      </c>
    </row>
    <row r="27" spans="1:12" hidden="1" x14ac:dyDescent="0.3">
      <c r="A27" s="9">
        <v>45352</v>
      </c>
      <c r="B27" s="4" t="s">
        <v>26</v>
      </c>
      <c r="C27" s="10">
        <v>2500</v>
      </c>
      <c r="D27" t="s">
        <v>27</v>
      </c>
      <c r="E27" t="str">
        <f t="shared" si="0"/>
        <v>Gasto</v>
      </c>
      <c r="G27"/>
      <c r="I2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7">
        <v>1</v>
      </c>
    </row>
    <row r="28" spans="1:12" hidden="1" x14ac:dyDescent="0.3">
      <c r="A28" s="9">
        <v>45352</v>
      </c>
      <c r="B28" s="4" t="s">
        <v>29</v>
      </c>
      <c r="C28" s="10">
        <v>1200</v>
      </c>
      <c r="D28" t="s">
        <v>27</v>
      </c>
      <c r="E28" t="str">
        <f t="shared" si="0"/>
        <v>Gasto</v>
      </c>
      <c r="G28"/>
      <c r="I2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8">
        <v>1</v>
      </c>
    </row>
    <row r="29" spans="1:12" hidden="1" x14ac:dyDescent="0.3">
      <c r="A29" s="9">
        <v>45352</v>
      </c>
      <c r="B29" s="4" t="s">
        <v>45</v>
      </c>
      <c r="C29" s="10">
        <v>330</v>
      </c>
      <c r="D29" t="s">
        <v>27</v>
      </c>
      <c r="E29" t="str">
        <f t="shared" si="0"/>
        <v>Gasto</v>
      </c>
      <c r="G29"/>
      <c r="I2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2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">
        <v>1</v>
      </c>
    </row>
    <row r="30" spans="1:12" hidden="1" x14ac:dyDescent="0.3">
      <c r="A30" s="9">
        <v>45352</v>
      </c>
      <c r="B30" s="5" t="s">
        <v>46</v>
      </c>
      <c r="C30" s="10">
        <v>37500</v>
      </c>
      <c r="D30" t="s">
        <v>32</v>
      </c>
      <c r="E30" t="str">
        <f t="shared" si="0"/>
        <v>Gasto</v>
      </c>
      <c r="G30"/>
      <c r="I3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">
        <v>1</v>
      </c>
    </row>
    <row r="31" spans="1:12" hidden="1" x14ac:dyDescent="0.3">
      <c r="A31" s="9">
        <v>45352</v>
      </c>
      <c r="B31" s="6" t="s">
        <v>47</v>
      </c>
      <c r="C31" s="10">
        <v>45000</v>
      </c>
      <c r="D31" t="s">
        <v>32</v>
      </c>
      <c r="E31" t="str">
        <f t="shared" si="0"/>
        <v>Gasto</v>
      </c>
      <c r="G31"/>
      <c r="I3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">
        <v>1</v>
      </c>
    </row>
    <row r="32" spans="1:12" hidden="1" x14ac:dyDescent="0.3">
      <c r="A32" s="9">
        <v>45352</v>
      </c>
      <c r="B32" s="2" t="s">
        <v>48</v>
      </c>
      <c r="C32" s="10">
        <v>0</v>
      </c>
      <c r="D32" t="s">
        <v>41</v>
      </c>
      <c r="E32" t="str">
        <f t="shared" si="0"/>
        <v>Gasto</v>
      </c>
      <c r="G32"/>
      <c r="I3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">
        <v>1</v>
      </c>
    </row>
    <row r="33" spans="1:12" hidden="1" x14ac:dyDescent="0.3">
      <c r="A33" s="9">
        <v>45352</v>
      </c>
      <c r="B33" s="2" t="s">
        <v>49</v>
      </c>
      <c r="C33" s="10">
        <v>0</v>
      </c>
      <c r="D33" t="s">
        <v>41</v>
      </c>
      <c r="E33" t="str">
        <f t="shared" si="0"/>
        <v>Gasto</v>
      </c>
      <c r="G33"/>
      <c r="I3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">
        <v>1</v>
      </c>
    </row>
    <row r="34" spans="1:12" hidden="1" x14ac:dyDescent="0.3">
      <c r="A34" s="9">
        <v>45352</v>
      </c>
      <c r="B34" s="2" t="s">
        <v>50</v>
      </c>
      <c r="C34" s="10">
        <v>0</v>
      </c>
      <c r="D34" t="s">
        <v>41</v>
      </c>
      <c r="E34" t="str">
        <f t="shared" ref="E34:E65" si="1">IF(B34="Trabajo","Ingreso",IF(B34="Beca","Ingreso","Gasto"))</f>
        <v>Gasto</v>
      </c>
      <c r="G34"/>
      <c r="I3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">
        <v>1</v>
      </c>
    </row>
    <row r="35" spans="1:12" hidden="1" x14ac:dyDescent="0.3">
      <c r="A35" s="9">
        <v>45352</v>
      </c>
      <c r="B35" s="2" t="s">
        <v>34</v>
      </c>
      <c r="C35" s="10">
        <v>357685</v>
      </c>
      <c r="D35" t="s">
        <v>35</v>
      </c>
      <c r="E35" t="str">
        <f t="shared" si="1"/>
        <v>Ingreso</v>
      </c>
      <c r="G35"/>
      <c r="I3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">
        <v>1</v>
      </c>
    </row>
    <row r="36" spans="1:12" hidden="1" x14ac:dyDescent="0.3">
      <c r="A36" s="9">
        <v>45352</v>
      </c>
      <c r="B36" s="2" t="s">
        <v>36</v>
      </c>
      <c r="C36" s="10">
        <v>57433</v>
      </c>
      <c r="D36" t="s">
        <v>35</v>
      </c>
      <c r="E36" t="str">
        <f t="shared" si="1"/>
        <v>Ingreso</v>
      </c>
      <c r="G36"/>
      <c r="I3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">
        <v>1</v>
      </c>
    </row>
    <row r="37" spans="1:12" hidden="1" x14ac:dyDescent="0.3">
      <c r="A37" s="9">
        <v>45352</v>
      </c>
      <c r="B37" s="3" t="s">
        <v>37</v>
      </c>
      <c r="C37" s="10">
        <v>8300</v>
      </c>
      <c r="D37" t="s">
        <v>38</v>
      </c>
      <c r="E37" t="str">
        <f t="shared" si="1"/>
        <v>Gasto</v>
      </c>
      <c r="G37"/>
      <c r="I3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">
        <v>1</v>
      </c>
    </row>
    <row r="38" spans="1:12" hidden="1" x14ac:dyDescent="0.3">
      <c r="A38" s="9">
        <v>45352</v>
      </c>
      <c r="B38" s="6" t="s">
        <v>51</v>
      </c>
      <c r="C38" s="10">
        <v>40000</v>
      </c>
      <c r="D38" t="s">
        <v>52</v>
      </c>
      <c r="E38" t="str">
        <f t="shared" si="1"/>
        <v>Gasto</v>
      </c>
      <c r="G38"/>
      <c r="I3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">
        <v>1</v>
      </c>
    </row>
    <row r="39" spans="1:12" hidden="1" x14ac:dyDescent="0.3">
      <c r="A39" s="9">
        <v>45383</v>
      </c>
      <c r="B39" s="2" t="s">
        <v>18</v>
      </c>
      <c r="C39" s="10">
        <v>35000</v>
      </c>
      <c r="D39" t="s">
        <v>19</v>
      </c>
      <c r="E39" t="str">
        <f t="shared" si="1"/>
        <v>Gasto</v>
      </c>
      <c r="G39"/>
      <c r="I3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">
        <v>1</v>
      </c>
    </row>
    <row r="40" spans="1:12" hidden="1" x14ac:dyDescent="0.3">
      <c r="A40" s="9">
        <v>45383</v>
      </c>
      <c r="B40" s="3" t="s">
        <v>15</v>
      </c>
      <c r="C40" s="10">
        <v>100400</v>
      </c>
      <c r="D40" t="s">
        <v>16</v>
      </c>
      <c r="E40" t="str">
        <f t="shared" si="1"/>
        <v>Gasto</v>
      </c>
      <c r="G40"/>
      <c r="I4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">
        <v>1</v>
      </c>
    </row>
    <row r="41" spans="1:12" hidden="1" x14ac:dyDescent="0.3">
      <c r="A41" s="9">
        <v>45383</v>
      </c>
      <c r="B41" s="3" t="s">
        <v>22</v>
      </c>
      <c r="C41" s="10">
        <v>1100</v>
      </c>
      <c r="D41" t="s">
        <v>23</v>
      </c>
      <c r="E41" t="str">
        <f t="shared" si="1"/>
        <v>Gasto</v>
      </c>
      <c r="G41"/>
      <c r="I4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">
        <v>1</v>
      </c>
    </row>
    <row r="42" spans="1:12" hidden="1" x14ac:dyDescent="0.3">
      <c r="A42" s="9">
        <v>45383</v>
      </c>
      <c r="B42" s="3" t="s">
        <v>53</v>
      </c>
      <c r="C42" s="10">
        <v>1500</v>
      </c>
      <c r="D42" t="s">
        <v>16</v>
      </c>
      <c r="E42" t="str">
        <f t="shared" si="1"/>
        <v>Gasto</v>
      </c>
      <c r="G42"/>
      <c r="I4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">
        <v>1</v>
      </c>
    </row>
    <row r="43" spans="1:12" hidden="1" x14ac:dyDescent="0.3">
      <c r="A43" s="9">
        <v>45383</v>
      </c>
      <c r="B43" s="3" t="s">
        <v>44</v>
      </c>
      <c r="C43" s="10">
        <v>29000</v>
      </c>
      <c r="D43" t="s">
        <v>16</v>
      </c>
      <c r="E43" t="str">
        <f t="shared" si="1"/>
        <v>Gasto</v>
      </c>
      <c r="G43"/>
      <c r="I4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3">
        <v>1</v>
      </c>
    </row>
    <row r="44" spans="1:12" hidden="1" x14ac:dyDescent="0.3">
      <c r="A44" s="9">
        <v>45383</v>
      </c>
      <c r="B44" s="4" t="s">
        <v>26</v>
      </c>
      <c r="C44" s="10">
        <v>2500</v>
      </c>
      <c r="D44" t="s">
        <v>27</v>
      </c>
      <c r="E44" t="str">
        <f t="shared" si="1"/>
        <v>Gasto</v>
      </c>
      <c r="G44"/>
      <c r="I4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">
        <v>1</v>
      </c>
    </row>
    <row r="45" spans="1:12" hidden="1" x14ac:dyDescent="0.3">
      <c r="A45" s="9">
        <v>45383</v>
      </c>
      <c r="B45" s="4" t="s">
        <v>29</v>
      </c>
      <c r="C45" s="10">
        <v>1200</v>
      </c>
      <c r="D45" t="s">
        <v>27</v>
      </c>
      <c r="E45" t="str">
        <f t="shared" si="1"/>
        <v>Gasto</v>
      </c>
      <c r="G45"/>
      <c r="I4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5">
        <v>1</v>
      </c>
    </row>
    <row r="46" spans="1:12" hidden="1" x14ac:dyDescent="0.3">
      <c r="A46" s="9">
        <v>45383</v>
      </c>
      <c r="B46" s="4" t="s">
        <v>45</v>
      </c>
      <c r="C46" s="10">
        <v>1130</v>
      </c>
      <c r="D46" t="s">
        <v>27</v>
      </c>
      <c r="E46" t="str">
        <f t="shared" si="1"/>
        <v>Gasto</v>
      </c>
      <c r="G46"/>
      <c r="I4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6">
        <v>1</v>
      </c>
    </row>
    <row r="47" spans="1:12" hidden="1" x14ac:dyDescent="0.3">
      <c r="A47" s="9">
        <v>45383</v>
      </c>
      <c r="B47" s="4" t="s">
        <v>54</v>
      </c>
      <c r="C47" s="10">
        <v>730</v>
      </c>
      <c r="D47" t="s">
        <v>27</v>
      </c>
      <c r="E47" t="str">
        <f t="shared" si="1"/>
        <v>Gasto</v>
      </c>
      <c r="G47"/>
      <c r="I4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">
        <v>1</v>
      </c>
    </row>
    <row r="48" spans="1:12" hidden="1" x14ac:dyDescent="0.3">
      <c r="A48" s="9">
        <v>45383</v>
      </c>
      <c r="B48" s="5" t="s">
        <v>46</v>
      </c>
      <c r="C48" s="10">
        <v>16500</v>
      </c>
      <c r="D48" t="s">
        <v>32</v>
      </c>
      <c r="E48" t="str">
        <f t="shared" si="1"/>
        <v>Gasto</v>
      </c>
      <c r="G48"/>
      <c r="I4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">
        <v>1</v>
      </c>
    </row>
    <row r="49" spans="1:12" hidden="1" x14ac:dyDescent="0.3">
      <c r="A49" s="9">
        <v>45383</v>
      </c>
      <c r="B49" s="2" t="s">
        <v>34</v>
      </c>
      <c r="C49" s="10">
        <v>411338</v>
      </c>
      <c r="D49" t="s">
        <v>35</v>
      </c>
      <c r="E49" t="str">
        <f t="shared" si="1"/>
        <v>Ingreso</v>
      </c>
      <c r="G49"/>
      <c r="I4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">
        <v>1</v>
      </c>
    </row>
    <row r="50" spans="1:12" hidden="1" x14ac:dyDescent="0.3">
      <c r="A50" s="9">
        <v>45383</v>
      </c>
      <c r="B50" s="2" t="s">
        <v>36</v>
      </c>
      <c r="C50" s="10">
        <v>57433</v>
      </c>
      <c r="D50" t="s">
        <v>35</v>
      </c>
      <c r="E50" t="str">
        <f t="shared" si="1"/>
        <v>Ingreso</v>
      </c>
      <c r="G50"/>
      <c r="I5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">
        <v>1</v>
      </c>
    </row>
    <row r="51" spans="1:12" hidden="1" x14ac:dyDescent="0.3">
      <c r="A51" s="9">
        <v>45383</v>
      </c>
      <c r="B51" s="3" t="s">
        <v>37</v>
      </c>
      <c r="C51" s="10">
        <v>16000</v>
      </c>
      <c r="D51" t="s">
        <v>38</v>
      </c>
      <c r="E51" t="str">
        <f t="shared" si="1"/>
        <v>Gasto</v>
      </c>
      <c r="G51"/>
      <c r="I5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">
        <v>1</v>
      </c>
    </row>
    <row r="52" spans="1:12" hidden="1" x14ac:dyDescent="0.3">
      <c r="A52" s="9">
        <v>45383</v>
      </c>
      <c r="B52" s="6" t="s">
        <v>51</v>
      </c>
      <c r="C52" s="10">
        <v>40000</v>
      </c>
      <c r="D52" t="s">
        <v>52</v>
      </c>
      <c r="E52" t="str">
        <f t="shared" si="1"/>
        <v>Gasto</v>
      </c>
      <c r="G52"/>
      <c r="I5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2">
        <v>1</v>
      </c>
    </row>
    <row r="53" spans="1:12" hidden="1" x14ac:dyDescent="0.3">
      <c r="A53" s="9">
        <v>45413</v>
      </c>
      <c r="B53" s="2" t="s">
        <v>18</v>
      </c>
      <c r="C53" s="10">
        <v>40500</v>
      </c>
      <c r="D53" t="s">
        <v>19</v>
      </c>
      <c r="E53" t="str">
        <f t="shared" si="1"/>
        <v>Gasto</v>
      </c>
      <c r="G53"/>
      <c r="I5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">
        <v>1</v>
      </c>
    </row>
    <row r="54" spans="1:12" hidden="1" x14ac:dyDescent="0.3">
      <c r="A54" s="9">
        <v>45413</v>
      </c>
      <c r="B54" s="3" t="s">
        <v>15</v>
      </c>
      <c r="C54" s="10">
        <v>110526</v>
      </c>
      <c r="D54" t="s">
        <v>16</v>
      </c>
      <c r="E54" t="str">
        <f t="shared" si="1"/>
        <v>Gasto</v>
      </c>
      <c r="G54"/>
      <c r="I5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">
        <v>1</v>
      </c>
    </row>
    <row r="55" spans="1:12" hidden="1" x14ac:dyDescent="0.3">
      <c r="A55" s="9">
        <v>45413</v>
      </c>
      <c r="B55" s="3" t="s">
        <v>22</v>
      </c>
      <c r="C55" s="10">
        <v>2200</v>
      </c>
      <c r="D55" t="s">
        <v>23</v>
      </c>
      <c r="E55" t="str">
        <f t="shared" si="1"/>
        <v>Gasto</v>
      </c>
      <c r="G55"/>
      <c r="I5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">
        <v>1</v>
      </c>
    </row>
    <row r="56" spans="1:12" hidden="1" x14ac:dyDescent="0.3">
      <c r="A56" s="9">
        <v>45413</v>
      </c>
      <c r="B56" s="3" t="s">
        <v>55</v>
      </c>
      <c r="C56" s="10">
        <v>35000</v>
      </c>
      <c r="D56" t="s">
        <v>56</v>
      </c>
      <c r="E56" t="str">
        <f t="shared" si="1"/>
        <v>Gasto</v>
      </c>
      <c r="G56"/>
      <c r="I5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">
        <v>1</v>
      </c>
    </row>
    <row r="57" spans="1:12" hidden="1" x14ac:dyDescent="0.3">
      <c r="A57" s="9">
        <v>45413</v>
      </c>
      <c r="B57" s="4" t="s">
        <v>57</v>
      </c>
      <c r="C57" s="10">
        <v>10953</v>
      </c>
      <c r="D57" t="s">
        <v>56</v>
      </c>
      <c r="E57" t="str">
        <f t="shared" si="1"/>
        <v>Gasto</v>
      </c>
      <c r="G57"/>
      <c r="I5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">
        <v>1</v>
      </c>
    </row>
    <row r="58" spans="1:12" hidden="1" x14ac:dyDescent="0.3">
      <c r="A58" s="9">
        <v>45413</v>
      </c>
      <c r="B58" s="4" t="s">
        <v>26</v>
      </c>
      <c r="C58" s="10">
        <v>2500</v>
      </c>
      <c r="D58" t="s">
        <v>27</v>
      </c>
      <c r="E58" t="str">
        <f t="shared" si="1"/>
        <v>Gasto</v>
      </c>
      <c r="G58"/>
      <c r="I5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8">
        <v>1</v>
      </c>
    </row>
    <row r="59" spans="1:12" hidden="1" x14ac:dyDescent="0.3">
      <c r="A59" s="9">
        <v>45413</v>
      </c>
      <c r="B59" s="4" t="s">
        <v>29</v>
      </c>
      <c r="C59" s="10">
        <v>8715</v>
      </c>
      <c r="D59" t="s">
        <v>27</v>
      </c>
      <c r="E59" t="str">
        <f t="shared" si="1"/>
        <v>Gasto</v>
      </c>
      <c r="G59"/>
      <c r="I5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5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">
        <v>1</v>
      </c>
    </row>
    <row r="60" spans="1:12" hidden="1" x14ac:dyDescent="0.3">
      <c r="A60" s="9">
        <v>45413</v>
      </c>
      <c r="B60" s="4" t="s">
        <v>45</v>
      </c>
      <c r="C60" s="10">
        <v>1130</v>
      </c>
      <c r="D60" t="s">
        <v>27</v>
      </c>
      <c r="E60" t="str">
        <f t="shared" si="1"/>
        <v>Gasto</v>
      </c>
      <c r="G60"/>
      <c r="I6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">
        <v>1</v>
      </c>
    </row>
    <row r="61" spans="1:12" hidden="1" x14ac:dyDescent="0.3">
      <c r="A61" s="9">
        <v>45413</v>
      </c>
      <c r="B61" s="4" t="s">
        <v>54</v>
      </c>
      <c r="C61" s="10">
        <v>3000</v>
      </c>
      <c r="D61" t="s">
        <v>27</v>
      </c>
      <c r="E61" t="str">
        <f t="shared" si="1"/>
        <v>Gasto</v>
      </c>
      <c r="G61"/>
      <c r="I6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">
        <v>1</v>
      </c>
    </row>
    <row r="62" spans="1:12" hidden="1" x14ac:dyDescent="0.3">
      <c r="A62" s="9">
        <v>45413</v>
      </c>
      <c r="B62" s="5" t="s">
        <v>46</v>
      </c>
      <c r="C62" s="10">
        <v>33000</v>
      </c>
      <c r="D62" t="s">
        <v>32</v>
      </c>
      <c r="E62" t="str">
        <f t="shared" si="1"/>
        <v>Gasto</v>
      </c>
      <c r="G62"/>
      <c r="I6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2">
        <v>1</v>
      </c>
    </row>
    <row r="63" spans="1:12" hidden="1" x14ac:dyDescent="0.3">
      <c r="A63" s="9">
        <v>45413</v>
      </c>
      <c r="B63" s="2" t="s">
        <v>34</v>
      </c>
      <c r="C63" s="10">
        <v>485994</v>
      </c>
      <c r="D63" t="s">
        <v>35</v>
      </c>
      <c r="E63" t="str">
        <f t="shared" si="1"/>
        <v>Ingreso</v>
      </c>
      <c r="G63"/>
      <c r="I6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3">
        <v>1</v>
      </c>
    </row>
    <row r="64" spans="1:12" hidden="1" x14ac:dyDescent="0.3">
      <c r="A64" s="9">
        <v>45413</v>
      </c>
      <c r="B64" s="2" t="s">
        <v>36</v>
      </c>
      <c r="C64" s="10">
        <v>81685</v>
      </c>
      <c r="D64" t="s">
        <v>35</v>
      </c>
      <c r="E64" t="str">
        <f t="shared" si="1"/>
        <v>Ingreso</v>
      </c>
      <c r="G64"/>
      <c r="I6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">
        <v>1</v>
      </c>
    </row>
    <row r="65" spans="1:12" hidden="1" x14ac:dyDescent="0.3">
      <c r="A65" s="9">
        <v>45413</v>
      </c>
      <c r="B65" s="3" t="s">
        <v>37</v>
      </c>
      <c r="C65" s="10">
        <v>16000</v>
      </c>
      <c r="D65" t="s">
        <v>38</v>
      </c>
      <c r="E65" t="str">
        <f t="shared" si="1"/>
        <v>Gasto</v>
      </c>
      <c r="G65"/>
      <c r="I6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">
        <v>1</v>
      </c>
    </row>
    <row r="66" spans="1:12" hidden="1" x14ac:dyDescent="0.3">
      <c r="A66" s="9">
        <v>45413</v>
      </c>
      <c r="B66" s="6" t="s">
        <v>51</v>
      </c>
      <c r="C66" s="10">
        <v>46000</v>
      </c>
      <c r="D66" t="s">
        <v>52</v>
      </c>
      <c r="E66" t="str">
        <f t="shared" ref="E66:E97" si="2">IF(B66="Trabajo","Ingreso",IF(B66="Beca","Ingreso","Gasto"))</f>
        <v>Gasto</v>
      </c>
      <c r="G66"/>
      <c r="I6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6">
        <v>1</v>
      </c>
    </row>
    <row r="67" spans="1:12" hidden="1" x14ac:dyDescent="0.3">
      <c r="A67" s="9">
        <v>45444</v>
      </c>
      <c r="B67" s="4" t="s">
        <v>58</v>
      </c>
      <c r="C67" s="10">
        <v>14285</v>
      </c>
      <c r="D67" t="s">
        <v>56</v>
      </c>
      <c r="E67" t="str">
        <f t="shared" si="2"/>
        <v>Gasto</v>
      </c>
      <c r="G67"/>
      <c r="I6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">
        <v>1</v>
      </c>
    </row>
    <row r="68" spans="1:12" hidden="1" x14ac:dyDescent="0.3">
      <c r="A68" s="9">
        <v>45444</v>
      </c>
      <c r="B68" s="2" t="s">
        <v>34</v>
      </c>
      <c r="C68" s="10">
        <v>557995</v>
      </c>
      <c r="D68" t="s">
        <v>35</v>
      </c>
      <c r="E68" t="str">
        <f t="shared" si="2"/>
        <v>Ingreso</v>
      </c>
      <c r="G68"/>
      <c r="I6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8">
        <v>1</v>
      </c>
    </row>
    <row r="69" spans="1:12" hidden="1" x14ac:dyDescent="0.3">
      <c r="A69" s="9">
        <v>45444</v>
      </c>
      <c r="B69" s="3" t="s">
        <v>15</v>
      </c>
      <c r="C69" s="10">
        <v>116158</v>
      </c>
      <c r="D69" t="s">
        <v>16</v>
      </c>
      <c r="E69" t="str">
        <f t="shared" si="2"/>
        <v>Gasto</v>
      </c>
      <c r="G69"/>
      <c r="I6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6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9">
        <v>1</v>
      </c>
    </row>
    <row r="70" spans="1:12" hidden="1" x14ac:dyDescent="0.3">
      <c r="A70" s="9">
        <v>45444</v>
      </c>
      <c r="B70" s="2" t="s">
        <v>36</v>
      </c>
      <c r="C70" s="10">
        <v>81685</v>
      </c>
      <c r="D70" t="s">
        <v>35</v>
      </c>
      <c r="E70" t="str">
        <f t="shared" si="2"/>
        <v>Ingreso</v>
      </c>
      <c r="G70"/>
      <c r="I7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">
        <v>1</v>
      </c>
    </row>
    <row r="71" spans="1:12" hidden="1" x14ac:dyDescent="0.3">
      <c r="A71" s="9">
        <v>45444</v>
      </c>
      <c r="B71" s="6" t="s">
        <v>51</v>
      </c>
      <c r="C71" s="10">
        <v>51600</v>
      </c>
      <c r="D71" t="s">
        <v>52</v>
      </c>
      <c r="E71" t="str">
        <f t="shared" si="2"/>
        <v>Gasto</v>
      </c>
      <c r="G71"/>
      <c r="I7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">
        <v>1</v>
      </c>
    </row>
    <row r="72" spans="1:12" hidden="1" x14ac:dyDescent="0.3">
      <c r="A72" s="9">
        <v>45444</v>
      </c>
      <c r="B72" s="5" t="s">
        <v>46</v>
      </c>
      <c r="C72" s="10">
        <v>45000</v>
      </c>
      <c r="D72" t="s">
        <v>32</v>
      </c>
      <c r="E72" t="str">
        <f t="shared" si="2"/>
        <v>Gasto</v>
      </c>
      <c r="G72"/>
      <c r="I7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">
        <v>1</v>
      </c>
    </row>
    <row r="73" spans="1:12" hidden="1" x14ac:dyDescent="0.3">
      <c r="A73" s="9">
        <v>45444</v>
      </c>
      <c r="B73" s="2" t="s">
        <v>18</v>
      </c>
      <c r="C73" s="10">
        <v>42351</v>
      </c>
      <c r="D73" t="s">
        <v>19</v>
      </c>
      <c r="E73" t="str">
        <f t="shared" si="2"/>
        <v>Gasto</v>
      </c>
      <c r="G73"/>
      <c r="I7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">
        <v>1</v>
      </c>
    </row>
    <row r="74" spans="1:12" hidden="1" x14ac:dyDescent="0.3">
      <c r="A74" s="9">
        <v>45444</v>
      </c>
      <c r="B74" s="3" t="s">
        <v>59</v>
      </c>
      <c r="C74" s="10">
        <v>35000</v>
      </c>
      <c r="D74" t="s">
        <v>56</v>
      </c>
      <c r="E74" t="str">
        <f t="shared" si="2"/>
        <v>Gasto</v>
      </c>
      <c r="G74"/>
      <c r="I7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4">
        <v>1</v>
      </c>
    </row>
    <row r="75" spans="1:12" hidden="1" x14ac:dyDescent="0.3">
      <c r="A75" s="9">
        <v>45444</v>
      </c>
      <c r="B75" s="3" t="s">
        <v>37</v>
      </c>
      <c r="C75" s="10">
        <v>16000</v>
      </c>
      <c r="D75" t="s">
        <v>38</v>
      </c>
      <c r="E75" t="str">
        <f t="shared" si="2"/>
        <v>Gasto</v>
      </c>
      <c r="G75"/>
      <c r="I7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5">
        <v>1</v>
      </c>
    </row>
    <row r="76" spans="1:12" hidden="1" x14ac:dyDescent="0.3">
      <c r="A76" s="9">
        <v>45444</v>
      </c>
      <c r="B76" s="4" t="s">
        <v>60</v>
      </c>
      <c r="C76" s="10">
        <v>10953</v>
      </c>
      <c r="D76" t="s">
        <v>56</v>
      </c>
      <c r="E76" t="str">
        <f t="shared" si="2"/>
        <v>Gasto</v>
      </c>
      <c r="G76"/>
      <c r="I7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6">
        <v>1</v>
      </c>
    </row>
    <row r="77" spans="1:12" hidden="1" x14ac:dyDescent="0.3">
      <c r="A77" s="9">
        <v>45444</v>
      </c>
      <c r="B77" s="4" t="s">
        <v>29</v>
      </c>
      <c r="C77" s="10">
        <v>8715</v>
      </c>
      <c r="D77" t="s">
        <v>27</v>
      </c>
      <c r="E77" t="str">
        <f t="shared" si="2"/>
        <v>Gasto</v>
      </c>
      <c r="G77"/>
      <c r="I7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7">
        <v>1</v>
      </c>
    </row>
    <row r="78" spans="1:12" hidden="1" x14ac:dyDescent="0.3">
      <c r="A78" s="9">
        <v>45444</v>
      </c>
      <c r="B78" s="4" t="s">
        <v>54</v>
      </c>
      <c r="C78" s="10">
        <v>3000</v>
      </c>
      <c r="D78" t="s">
        <v>27</v>
      </c>
      <c r="E78" t="str">
        <f t="shared" si="2"/>
        <v>Gasto</v>
      </c>
      <c r="G78"/>
      <c r="I7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8">
        <v>1</v>
      </c>
    </row>
    <row r="79" spans="1:12" hidden="1" x14ac:dyDescent="0.3">
      <c r="A79" s="9">
        <v>45444</v>
      </c>
      <c r="B79" s="4" t="s">
        <v>26</v>
      </c>
      <c r="C79" s="10">
        <v>2500</v>
      </c>
      <c r="D79" t="s">
        <v>27</v>
      </c>
      <c r="E79" t="str">
        <f t="shared" si="2"/>
        <v>Gasto</v>
      </c>
      <c r="G79"/>
      <c r="I7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9">
        <v>1</v>
      </c>
    </row>
    <row r="80" spans="1:12" hidden="1" x14ac:dyDescent="0.3">
      <c r="A80" s="9">
        <v>45444</v>
      </c>
      <c r="B80" s="3" t="s">
        <v>22</v>
      </c>
      <c r="C80" s="10">
        <v>2200</v>
      </c>
      <c r="D80" t="s">
        <v>23</v>
      </c>
      <c r="E80" t="str">
        <f t="shared" si="2"/>
        <v>Gasto</v>
      </c>
      <c r="G80"/>
      <c r="I8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0">
        <v>1</v>
      </c>
    </row>
    <row r="81" spans="1:12" hidden="1" x14ac:dyDescent="0.3">
      <c r="A81" s="9">
        <v>45444</v>
      </c>
      <c r="B81" s="4" t="s">
        <v>45</v>
      </c>
      <c r="C81" s="10">
        <v>1130</v>
      </c>
      <c r="D81" t="s">
        <v>27</v>
      </c>
      <c r="E81" t="str">
        <f t="shared" si="2"/>
        <v>Gasto</v>
      </c>
      <c r="G81"/>
      <c r="I8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1">
        <v>1</v>
      </c>
    </row>
    <row r="82" spans="1:12" hidden="1" x14ac:dyDescent="0.3">
      <c r="A82" s="9">
        <v>45474</v>
      </c>
      <c r="B82" s="2" t="s">
        <v>18</v>
      </c>
      <c r="C82" s="10">
        <v>57800</v>
      </c>
      <c r="D82" t="s">
        <v>19</v>
      </c>
      <c r="E82" t="str">
        <f t="shared" si="2"/>
        <v>Gasto</v>
      </c>
      <c r="G82"/>
      <c r="I8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2">
        <v>1</v>
      </c>
    </row>
    <row r="83" spans="1:12" hidden="1" x14ac:dyDescent="0.3">
      <c r="A83" s="9">
        <v>45474</v>
      </c>
      <c r="B83" s="3" t="s">
        <v>37</v>
      </c>
      <c r="C83" s="10">
        <v>16000</v>
      </c>
      <c r="D83" t="s">
        <v>38</v>
      </c>
      <c r="E83" t="str">
        <f t="shared" si="2"/>
        <v>Gasto</v>
      </c>
      <c r="G83"/>
      <c r="I8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3">
        <v>1</v>
      </c>
    </row>
    <row r="84" spans="1:12" hidden="1" x14ac:dyDescent="0.3">
      <c r="A84" s="9">
        <v>45474</v>
      </c>
      <c r="B84" s="3" t="s">
        <v>15</v>
      </c>
      <c r="C84" s="10">
        <v>117158</v>
      </c>
      <c r="D84" t="s">
        <v>16</v>
      </c>
      <c r="E84" t="str">
        <f t="shared" si="2"/>
        <v>Gasto</v>
      </c>
      <c r="G84"/>
      <c r="I8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4">
        <v>1</v>
      </c>
    </row>
    <row r="85" spans="1:12" hidden="1" x14ac:dyDescent="0.3">
      <c r="A85" s="9">
        <v>45474</v>
      </c>
      <c r="B85" s="3" t="s">
        <v>61</v>
      </c>
      <c r="C85" s="10">
        <v>58100</v>
      </c>
      <c r="D85" t="s">
        <v>16</v>
      </c>
      <c r="E85" t="str">
        <f t="shared" si="2"/>
        <v>Gasto</v>
      </c>
      <c r="G85"/>
      <c r="I8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5">
        <v>1</v>
      </c>
    </row>
    <row r="86" spans="1:12" hidden="1" x14ac:dyDescent="0.3">
      <c r="A86" s="9">
        <v>45474</v>
      </c>
      <c r="B86" s="3" t="s">
        <v>22</v>
      </c>
      <c r="C86" s="10">
        <v>2200</v>
      </c>
      <c r="D86" t="s">
        <v>23</v>
      </c>
      <c r="E86" t="str">
        <f t="shared" si="2"/>
        <v>Gasto</v>
      </c>
      <c r="G86"/>
      <c r="I8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6">
        <v>1</v>
      </c>
    </row>
    <row r="87" spans="1:12" hidden="1" x14ac:dyDescent="0.3">
      <c r="A87" s="9">
        <v>45474</v>
      </c>
      <c r="B87" s="3" t="s">
        <v>62</v>
      </c>
      <c r="C87" s="10">
        <v>35000</v>
      </c>
      <c r="D87" t="s">
        <v>56</v>
      </c>
      <c r="E87" t="str">
        <f t="shared" si="2"/>
        <v>Gasto</v>
      </c>
      <c r="G87"/>
      <c r="I8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7">
        <v>1</v>
      </c>
    </row>
    <row r="88" spans="1:12" hidden="1" x14ac:dyDescent="0.3">
      <c r="A88" s="9">
        <v>45474</v>
      </c>
      <c r="B88" s="4" t="s">
        <v>63</v>
      </c>
      <c r="C88" s="10">
        <v>10953</v>
      </c>
      <c r="D88" t="s">
        <v>56</v>
      </c>
      <c r="E88" t="str">
        <f t="shared" si="2"/>
        <v>Gasto</v>
      </c>
      <c r="G88"/>
      <c r="I8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8">
        <v>1</v>
      </c>
    </row>
    <row r="89" spans="1:12" hidden="1" x14ac:dyDescent="0.3">
      <c r="A89" s="9">
        <v>45474</v>
      </c>
      <c r="B89" s="4" t="s">
        <v>58</v>
      </c>
      <c r="C89" s="10">
        <v>14285</v>
      </c>
      <c r="D89" t="s">
        <v>56</v>
      </c>
      <c r="E89" t="str">
        <f t="shared" si="2"/>
        <v>Gasto</v>
      </c>
      <c r="G89"/>
      <c r="I8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8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89">
        <v>1</v>
      </c>
    </row>
    <row r="90" spans="1:12" hidden="1" x14ac:dyDescent="0.3">
      <c r="A90" s="9">
        <v>45474</v>
      </c>
      <c r="B90" s="4" t="s">
        <v>26</v>
      </c>
      <c r="C90" s="10">
        <v>4000</v>
      </c>
      <c r="D90" t="s">
        <v>27</v>
      </c>
      <c r="E90" t="str">
        <f t="shared" si="2"/>
        <v>Gasto</v>
      </c>
      <c r="G90"/>
      <c r="I9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0">
        <v>1</v>
      </c>
    </row>
    <row r="91" spans="1:12" hidden="1" x14ac:dyDescent="0.3">
      <c r="A91" s="9">
        <v>45474</v>
      </c>
      <c r="B91" s="4" t="s">
        <v>29</v>
      </c>
      <c r="C91" s="10">
        <v>8715</v>
      </c>
      <c r="D91" t="s">
        <v>27</v>
      </c>
      <c r="E91" t="str">
        <f t="shared" si="2"/>
        <v>Gasto</v>
      </c>
      <c r="G91"/>
      <c r="I9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1">
        <v>1</v>
      </c>
    </row>
    <row r="92" spans="1:12" hidden="1" x14ac:dyDescent="0.3">
      <c r="A92" s="9">
        <v>45474</v>
      </c>
      <c r="B92" s="4" t="s">
        <v>45</v>
      </c>
      <c r="C92" s="10">
        <v>1130</v>
      </c>
      <c r="D92" t="s">
        <v>27</v>
      </c>
      <c r="E92" t="str">
        <f t="shared" si="2"/>
        <v>Gasto</v>
      </c>
      <c r="G92"/>
      <c r="I9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2">
        <v>1</v>
      </c>
    </row>
    <row r="93" spans="1:12" hidden="1" x14ac:dyDescent="0.3">
      <c r="A93" s="9">
        <v>45474</v>
      </c>
      <c r="B93" s="4" t="s">
        <v>54</v>
      </c>
      <c r="C93" s="10">
        <v>3000</v>
      </c>
      <c r="D93" t="s">
        <v>27</v>
      </c>
      <c r="E93" t="str">
        <f t="shared" si="2"/>
        <v>Gasto</v>
      </c>
      <c r="G93"/>
      <c r="I9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3">
        <v>1</v>
      </c>
    </row>
    <row r="94" spans="1:12" hidden="1" x14ac:dyDescent="0.3">
      <c r="A94" s="9">
        <v>45474</v>
      </c>
      <c r="B94" s="5" t="s">
        <v>46</v>
      </c>
      <c r="C94" s="10">
        <v>20000</v>
      </c>
      <c r="D94" t="s">
        <v>32</v>
      </c>
      <c r="E94" t="str">
        <f t="shared" si="2"/>
        <v>Gasto</v>
      </c>
      <c r="G94"/>
      <c r="I9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4">
        <v>1</v>
      </c>
    </row>
    <row r="95" spans="1:12" hidden="1" x14ac:dyDescent="0.3">
      <c r="A95" s="9">
        <v>45474</v>
      </c>
      <c r="B95" s="2" t="s">
        <v>34</v>
      </c>
      <c r="C95" s="10">
        <v>878837</v>
      </c>
      <c r="D95" t="s">
        <v>35</v>
      </c>
      <c r="E95" t="str">
        <f t="shared" si="2"/>
        <v>Ingreso</v>
      </c>
      <c r="G95"/>
      <c r="I9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5">
        <v>1</v>
      </c>
    </row>
    <row r="96" spans="1:12" hidden="1" x14ac:dyDescent="0.3">
      <c r="A96" s="9">
        <v>45474</v>
      </c>
      <c r="B96" s="2" t="s">
        <v>36</v>
      </c>
      <c r="C96" s="10">
        <v>81685</v>
      </c>
      <c r="D96" t="s">
        <v>35</v>
      </c>
      <c r="E96" t="str">
        <f t="shared" si="2"/>
        <v>Ingreso</v>
      </c>
      <c r="G96"/>
      <c r="I9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6">
        <v>1</v>
      </c>
    </row>
    <row r="97" spans="1:12" hidden="1" x14ac:dyDescent="0.3">
      <c r="A97" s="9">
        <v>45474</v>
      </c>
      <c r="B97" s="6" t="s">
        <v>51</v>
      </c>
      <c r="C97" s="10">
        <v>64000</v>
      </c>
      <c r="D97" t="s">
        <v>52</v>
      </c>
      <c r="E97" t="str">
        <f t="shared" si="2"/>
        <v>Gasto</v>
      </c>
      <c r="G97"/>
      <c r="I9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7">
        <v>1</v>
      </c>
    </row>
    <row r="98" spans="1:12" hidden="1" x14ac:dyDescent="0.3">
      <c r="A98" s="9">
        <v>45505</v>
      </c>
      <c r="B98" s="2" t="s">
        <v>18</v>
      </c>
      <c r="C98" s="10">
        <v>49900</v>
      </c>
      <c r="D98" t="s">
        <v>19</v>
      </c>
      <c r="E98" t="str">
        <f t="shared" ref="E98:E129" si="3">IF(B98="Trabajo","Ingreso",IF(B98="Beca","Ingreso","Gasto"))</f>
        <v>Gasto</v>
      </c>
      <c r="G98"/>
      <c r="I9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8">
        <v>1</v>
      </c>
    </row>
    <row r="99" spans="1:12" hidden="1" x14ac:dyDescent="0.3">
      <c r="A99" s="9">
        <v>45505</v>
      </c>
      <c r="B99" s="3" t="s">
        <v>37</v>
      </c>
      <c r="C99" s="10">
        <v>16000</v>
      </c>
      <c r="D99" t="s">
        <v>38</v>
      </c>
      <c r="E99" t="str">
        <f t="shared" si="3"/>
        <v>Gasto</v>
      </c>
      <c r="G99"/>
      <c r="I9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9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99">
        <v>1</v>
      </c>
    </row>
    <row r="100" spans="1:12" hidden="1" x14ac:dyDescent="0.3">
      <c r="A100" s="9">
        <v>45505</v>
      </c>
      <c r="B100" s="3" t="s">
        <v>15</v>
      </c>
      <c r="C100" s="10">
        <v>127116</v>
      </c>
      <c r="D100" t="s">
        <v>16</v>
      </c>
      <c r="E100" t="str">
        <f t="shared" si="3"/>
        <v>Gasto</v>
      </c>
      <c r="G100"/>
      <c r="I10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0">
        <v>1</v>
      </c>
    </row>
    <row r="101" spans="1:12" hidden="1" x14ac:dyDescent="0.3">
      <c r="A101" s="9">
        <v>45505</v>
      </c>
      <c r="B101" s="3" t="s">
        <v>22</v>
      </c>
      <c r="C101" s="10">
        <v>2200</v>
      </c>
      <c r="D101" t="s">
        <v>23</v>
      </c>
      <c r="E101" t="str">
        <f t="shared" si="3"/>
        <v>Gasto</v>
      </c>
      <c r="G101"/>
      <c r="I10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1">
        <v>1</v>
      </c>
    </row>
    <row r="102" spans="1:12" hidden="1" x14ac:dyDescent="0.3">
      <c r="A102" s="9">
        <v>45505</v>
      </c>
      <c r="B102" s="3" t="s">
        <v>64</v>
      </c>
      <c r="C102" s="10">
        <v>35000</v>
      </c>
      <c r="D102" t="s">
        <v>56</v>
      </c>
      <c r="E102" t="str">
        <f t="shared" si="3"/>
        <v>Gasto</v>
      </c>
      <c r="G102"/>
      <c r="I10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2">
        <v>1</v>
      </c>
    </row>
    <row r="103" spans="1:12" hidden="1" x14ac:dyDescent="0.3">
      <c r="A103" s="9">
        <v>45505</v>
      </c>
      <c r="B103" s="4" t="s">
        <v>65</v>
      </c>
      <c r="C103" s="10">
        <v>10953</v>
      </c>
      <c r="D103" t="s">
        <v>56</v>
      </c>
      <c r="E103" t="str">
        <f t="shared" si="3"/>
        <v>Gasto</v>
      </c>
      <c r="G103"/>
      <c r="I10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3">
        <v>1</v>
      </c>
    </row>
    <row r="104" spans="1:12" hidden="1" x14ac:dyDescent="0.3">
      <c r="A104" s="9">
        <v>45505</v>
      </c>
      <c r="B104" s="4" t="s">
        <v>66</v>
      </c>
      <c r="C104" s="10">
        <v>14285</v>
      </c>
      <c r="D104" t="s">
        <v>56</v>
      </c>
      <c r="E104" t="str">
        <f t="shared" si="3"/>
        <v>Gasto</v>
      </c>
      <c r="G104"/>
      <c r="I10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4">
        <v>1</v>
      </c>
    </row>
    <row r="105" spans="1:12" hidden="1" x14ac:dyDescent="0.3">
      <c r="A105" s="9">
        <v>45505</v>
      </c>
      <c r="B105" s="4" t="s">
        <v>26</v>
      </c>
      <c r="C105" s="10">
        <v>4000</v>
      </c>
      <c r="D105" t="s">
        <v>27</v>
      </c>
      <c r="E105" t="str">
        <f t="shared" si="3"/>
        <v>Gasto</v>
      </c>
      <c r="G105"/>
      <c r="I10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5">
        <v>1</v>
      </c>
    </row>
    <row r="106" spans="1:12" hidden="1" x14ac:dyDescent="0.3">
      <c r="A106" s="9">
        <v>45505</v>
      </c>
      <c r="B106" s="4" t="s">
        <v>29</v>
      </c>
      <c r="C106" s="10">
        <v>8715</v>
      </c>
      <c r="D106" t="s">
        <v>27</v>
      </c>
      <c r="E106" t="str">
        <f t="shared" si="3"/>
        <v>Gasto</v>
      </c>
      <c r="G106"/>
      <c r="I10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6">
        <v>1</v>
      </c>
    </row>
    <row r="107" spans="1:12" hidden="1" x14ac:dyDescent="0.3">
      <c r="A107" s="9">
        <v>45505</v>
      </c>
      <c r="B107" s="4" t="s">
        <v>45</v>
      </c>
      <c r="C107" s="10">
        <v>1130</v>
      </c>
      <c r="D107" t="s">
        <v>27</v>
      </c>
      <c r="E107" t="str">
        <f t="shared" si="3"/>
        <v>Gasto</v>
      </c>
      <c r="G107"/>
      <c r="I10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7">
        <v>1</v>
      </c>
    </row>
    <row r="108" spans="1:12" hidden="1" x14ac:dyDescent="0.3">
      <c r="A108" s="9">
        <v>45505</v>
      </c>
      <c r="B108" s="4" t="s">
        <v>54</v>
      </c>
      <c r="C108" s="10">
        <v>3000</v>
      </c>
      <c r="D108" t="s">
        <v>27</v>
      </c>
      <c r="E108" t="str">
        <f t="shared" si="3"/>
        <v>Gasto</v>
      </c>
      <c r="G108"/>
      <c r="I10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8">
        <v>1</v>
      </c>
    </row>
    <row r="109" spans="1:12" hidden="1" x14ac:dyDescent="0.3">
      <c r="A109" s="9">
        <v>45505</v>
      </c>
      <c r="B109" s="5" t="s">
        <v>46</v>
      </c>
      <c r="C109" s="10">
        <v>25000</v>
      </c>
      <c r="D109" t="s">
        <v>32</v>
      </c>
      <c r="E109" t="str">
        <f t="shared" si="3"/>
        <v>Gasto</v>
      </c>
      <c r="G109"/>
      <c r="I10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0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09">
        <v>1</v>
      </c>
    </row>
    <row r="110" spans="1:12" hidden="1" x14ac:dyDescent="0.3">
      <c r="A110" s="9">
        <v>45505</v>
      </c>
      <c r="B110" s="6" t="s">
        <v>67</v>
      </c>
      <c r="C110" s="10">
        <v>15000</v>
      </c>
      <c r="D110" t="s">
        <v>16</v>
      </c>
      <c r="E110" t="str">
        <f t="shared" si="3"/>
        <v>Gasto</v>
      </c>
      <c r="G110"/>
      <c r="I11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0">
        <v>1</v>
      </c>
    </row>
    <row r="111" spans="1:12" hidden="1" x14ac:dyDescent="0.3">
      <c r="A111" s="9">
        <v>45505</v>
      </c>
      <c r="B111" s="2" t="s">
        <v>34</v>
      </c>
      <c r="C111" s="10">
        <v>619371</v>
      </c>
      <c r="D111" t="s">
        <v>35</v>
      </c>
      <c r="E111" t="str">
        <f t="shared" si="3"/>
        <v>Ingreso</v>
      </c>
      <c r="G111"/>
      <c r="I11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1">
        <v>1</v>
      </c>
    </row>
    <row r="112" spans="1:12" hidden="1" x14ac:dyDescent="0.3">
      <c r="A112" s="9">
        <v>45505</v>
      </c>
      <c r="B112" s="2" t="s">
        <v>36</v>
      </c>
      <c r="C112" s="10">
        <v>81685</v>
      </c>
      <c r="D112" t="s">
        <v>35</v>
      </c>
      <c r="E112" t="str">
        <f t="shared" si="3"/>
        <v>Ingreso</v>
      </c>
      <c r="G112"/>
      <c r="I11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2">
        <v>1</v>
      </c>
    </row>
    <row r="113" spans="1:12" hidden="1" x14ac:dyDescent="0.3">
      <c r="A113" s="9">
        <v>45505</v>
      </c>
      <c r="B113" s="6" t="s">
        <v>51</v>
      </c>
      <c r="C113" s="10">
        <v>51600</v>
      </c>
      <c r="D113" t="s">
        <v>52</v>
      </c>
      <c r="E113" t="str">
        <f t="shared" si="3"/>
        <v>Gasto</v>
      </c>
      <c r="G113"/>
      <c r="I11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3">
        <v>1</v>
      </c>
    </row>
    <row r="114" spans="1:12" hidden="1" x14ac:dyDescent="0.3">
      <c r="A114" s="9">
        <v>45536</v>
      </c>
      <c r="B114" s="2" t="s">
        <v>18</v>
      </c>
      <c r="C114" s="10">
        <v>49900</v>
      </c>
      <c r="D114" t="s">
        <v>19</v>
      </c>
      <c r="E114" t="str">
        <f t="shared" si="3"/>
        <v>Gasto</v>
      </c>
      <c r="G114"/>
      <c r="I11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4">
        <v>1</v>
      </c>
    </row>
    <row r="115" spans="1:12" hidden="1" x14ac:dyDescent="0.3">
      <c r="A115" s="9">
        <v>45536</v>
      </c>
      <c r="B115" s="3" t="s">
        <v>37</v>
      </c>
      <c r="C115" s="10">
        <v>16000</v>
      </c>
      <c r="D115" t="s">
        <v>38</v>
      </c>
      <c r="E115" t="str">
        <f t="shared" si="3"/>
        <v>Gasto</v>
      </c>
      <c r="G115"/>
      <c r="I11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5">
        <v>1</v>
      </c>
    </row>
    <row r="116" spans="1:12" hidden="1" x14ac:dyDescent="0.3">
      <c r="A116" s="9">
        <v>45536</v>
      </c>
      <c r="B116" s="3" t="s">
        <v>15</v>
      </c>
      <c r="C116" s="10">
        <v>131216</v>
      </c>
      <c r="D116" t="s">
        <v>16</v>
      </c>
      <c r="E116" t="str">
        <f t="shared" si="3"/>
        <v>Gasto</v>
      </c>
      <c r="G116"/>
      <c r="I11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6">
        <v>1</v>
      </c>
    </row>
    <row r="117" spans="1:12" hidden="1" x14ac:dyDescent="0.3">
      <c r="A117" s="9">
        <v>45536</v>
      </c>
      <c r="B117" s="3" t="s">
        <v>22</v>
      </c>
      <c r="C117" s="10">
        <v>2200</v>
      </c>
      <c r="D117" t="s">
        <v>23</v>
      </c>
      <c r="E117" t="str">
        <f t="shared" si="3"/>
        <v>Gasto</v>
      </c>
      <c r="G117"/>
      <c r="I11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7">
        <v>1</v>
      </c>
    </row>
    <row r="118" spans="1:12" hidden="1" x14ac:dyDescent="0.3">
      <c r="A118" s="9">
        <v>45536</v>
      </c>
      <c r="B118" s="3" t="s">
        <v>68</v>
      </c>
      <c r="C118" s="10">
        <v>35000</v>
      </c>
      <c r="D118" t="s">
        <v>56</v>
      </c>
      <c r="E118" t="str">
        <f t="shared" si="3"/>
        <v>Gasto</v>
      </c>
      <c r="G118"/>
      <c r="I11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8">
        <v>1</v>
      </c>
    </row>
    <row r="119" spans="1:12" hidden="1" x14ac:dyDescent="0.3">
      <c r="A119" s="9">
        <v>45536</v>
      </c>
      <c r="B119" s="4" t="s">
        <v>69</v>
      </c>
      <c r="C119" s="10">
        <v>10953</v>
      </c>
      <c r="D119" t="s">
        <v>56</v>
      </c>
      <c r="E119" t="str">
        <f t="shared" si="3"/>
        <v>Gasto</v>
      </c>
      <c r="G119"/>
      <c r="I11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1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19">
        <v>1</v>
      </c>
    </row>
    <row r="120" spans="1:12" hidden="1" x14ac:dyDescent="0.3">
      <c r="A120" s="9">
        <v>45536</v>
      </c>
      <c r="B120" s="4" t="s">
        <v>70</v>
      </c>
      <c r="C120" s="10">
        <v>14285</v>
      </c>
      <c r="D120" t="s">
        <v>56</v>
      </c>
      <c r="E120" t="str">
        <f t="shared" si="3"/>
        <v>Gasto</v>
      </c>
      <c r="G120"/>
      <c r="I12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0">
        <v>1</v>
      </c>
    </row>
    <row r="121" spans="1:12" hidden="1" x14ac:dyDescent="0.3">
      <c r="A121" s="9">
        <v>45536</v>
      </c>
      <c r="B121" s="4" t="s">
        <v>29</v>
      </c>
      <c r="C121" s="10">
        <v>8715</v>
      </c>
      <c r="D121" t="s">
        <v>27</v>
      </c>
      <c r="E121" t="str">
        <f t="shared" si="3"/>
        <v>Gasto</v>
      </c>
      <c r="G121"/>
      <c r="I12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1">
        <v>1</v>
      </c>
    </row>
    <row r="122" spans="1:12" hidden="1" x14ac:dyDescent="0.3">
      <c r="A122" s="9">
        <v>45536</v>
      </c>
      <c r="B122" s="4" t="s">
        <v>45</v>
      </c>
      <c r="C122" s="10">
        <v>2130</v>
      </c>
      <c r="D122" t="s">
        <v>27</v>
      </c>
      <c r="E122" t="str">
        <f t="shared" si="3"/>
        <v>Gasto</v>
      </c>
      <c r="G122"/>
      <c r="I12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2">
        <v>1</v>
      </c>
    </row>
    <row r="123" spans="1:12" hidden="1" x14ac:dyDescent="0.3">
      <c r="A123" s="9">
        <v>45536</v>
      </c>
      <c r="B123" s="4" t="s">
        <v>54</v>
      </c>
      <c r="C123" s="10">
        <v>3000</v>
      </c>
      <c r="D123" t="s">
        <v>27</v>
      </c>
      <c r="E123" t="str">
        <f t="shared" si="3"/>
        <v>Gasto</v>
      </c>
      <c r="G123"/>
      <c r="I12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3">
        <v>1</v>
      </c>
    </row>
    <row r="124" spans="1:12" hidden="1" x14ac:dyDescent="0.3">
      <c r="A124" s="9">
        <v>45536</v>
      </c>
      <c r="B124" s="5" t="s">
        <v>46</v>
      </c>
      <c r="C124" s="10">
        <v>25000</v>
      </c>
      <c r="D124" t="s">
        <v>32</v>
      </c>
      <c r="E124" t="str">
        <f t="shared" si="3"/>
        <v>Gasto</v>
      </c>
      <c r="G124"/>
      <c r="I12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4">
        <v>1</v>
      </c>
    </row>
    <row r="125" spans="1:12" hidden="1" x14ac:dyDescent="0.3">
      <c r="A125" s="9">
        <v>45536</v>
      </c>
      <c r="B125" s="6" t="s">
        <v>71</v>
      </c>
      <c r="C125" s="10">
        <v>10000</v>
      </c>
      <c r="D125" t="s">
        <v>56</v>
      </c>
      <c r="E125" t="str">
        <f t="shared" si="3"/>
        <v>Gasto</v>
      </c>
      <c r="G125"/>
      <c r="I12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5">
        <v>1</v>
      </c>
    </row>
    <row r="126" spans="1:12" hidden="1" x14ac:dyDescent="0.3">
      <c r="A126" s="9">
        <v>45536</v>
      </c>
      <c r="B126" s="2" t="s">
        <v>34</v>
      </c>
      <c r="C126" s="10">
        <v>619371</v>
      </c>
      <c r="D126" t="s">
        <v>35</v>
      </c>
      <c r="E126" t="str">
        <f t="shared" si="3"/>
        <v>Ingreso</v>
      </c>
      <c r="G126"/>
      <c r="I12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6">
        <v>1</v>
      </c>
    </row>
    <row r="127" spans="1:12" hidden="1" x14ac:dyDescent="0.3">
      <c r="A127" s="9">
        <v>45536</v>
      </c>
      <c r="B127" s="2" t="s">
        <v>36</v>
      </c>
      <c r="C127" s="10">
        <v>81685</v>
      </c>
      <c r="D127" t="s">
        <v>35</v>
      </c>
      <c r="E127" t="str">
        <f t="shared" si="3"/>
        <v>Ingreso</v>
      </c>
      <c r="G127"/>
      <c r="I12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7">
        <v>1</v>
      </c>
    </row>
    <row r="128" spans="1:12" hidden="1" x14ac:dyDescent="0.3">
      <c r="A128" s="9">
        <v>45536</v>
      </c>
      <c r="B128" s="6" t="s">
        <v>51</v>
      </c>
      <c r="C128" s="10">
        <v>59600</v>
      </c>
      <c r="D128" t="s">
        <v>52</v>
      </c>
      <c r="E128" t="str">
        <f t="shared" si="3"/>
        <v>Gasto</v>
      </c>
      <c r="G128"/>
      <c r="I12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8">
        <v>1</v>
      </c>
    </row>
    <row r="129" spans="1:12" hidden="1" x14ac:dyDescent="0.3">
      <c r="A129" s="9">
        <v>45566</v>
      </c>
      <c r="B129" s="2" t="s">
        <v>18</v>
      </c>
      <c r="C129" s="10">
        <v>49900</v>
      </c>
      <c r="D129" t="s">
        <v>19</v>
      </c>
      <c r="E129" t="str">
        <f t="shared" si="3"/>
        <v>Gasto</v>
      </c>
      <c r="G129"/>
      <c r="I12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2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29">
        <v>1</v>
      </c>
    </row>
    <row r="130" spans="1:12" hidden="1" x14ac:dyDescent="0.3">
      <c r="A130" s="9">
        <v>45566</v>
      </c>
      <c r="B130" s="3" t="s">
        <v>37</v>
      </c>
      <c r="C130" s="10">
        <v>18000</v>
      </c>
      <c r="D130" t="s">
        <v>38</v>
      </c>
      <c r="E130" t="str">
        <f t="shared" ref="E130:E161" si="4">IF(B130="Trabajo","Ingreso",IF(B130="Beca","Ingreso","Gasto"))</f>
        <v>Gasto</v>
      </c>
      <c r="G130"/>
      <c r="I13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0">
        <v>1</v>
      </c>
    </row>
    <row r="131" spans="1:12" hidden="1" x14ac:dyDescent="0.3">
      <c r="A131" s="9">
        <v>45566</v>
      </c>
      <c r="B131" s="3" t="s">
        <v>15</v>
      </c>
      <c r="C131" s="10">
        <v>134028</v>
      </c>
      <c r="D131" t="s">
        <v>16</v>
      </c>
      <c r="E131" t="str">
        <f t="shared" si="4"/>
        <v>Gasto</v>
      </c>
      <c r="G131"/>
      <c r="I13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1">
        <v>1</v>
      </c>
    </row>
    <row r="132" spans="1:12" hidden="1" x14ac:dyDescent="0.3">
      <c r="A132" s="9">
        <v>45566</v>
      </c>
      <c r="B132" s="3" t="s">
        <v>22</v>
      </c>
      <c r="C132" s="10">
        <v>2200</v>
      </c>
      <c r="D132" t="s">
        <v>23</v>
      </c>
      <c r="E132" t="str">
        <f t="shared" si="4"/>
        <v>Gasto</v>
      </c>
      <c r="G132"/>
      <c r="I13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2">
        <v>1</v>
      </c>
    </row>
    <row r="133" spans="1:12" hidden="1" x14ac:dyDescent="0.3">
      <c r="A133" s="9">
        <v>45566</v>
      </c>
      <c r="B133" s="3" t="s">
        <v>72</v>
      </c>
      <c r="C133" s="10">
        <v>32600</v>
      </c>
      <c r="D133" t="s">
        <v>56</v>
      </c>
      <c r="E133" t="str">
        <f t="shared" si="4"/>
        <v>Gasto</v>
      </c>
      <c r="G133"/>
      <c r="I13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3">
        <v>1</v>
      </c>
    </row>
    <row r="134" spans="1:12" hidden="1" x14ac:dyDescent="0.3">
      <c r="A134" s="9">
        <v>45566</v>
      </c>
      <c r="B134" s="4" t="s">
        <v>73</v>
      </c>
      <c r="C134" s="10">
        <v>10953</v>
      </c>
      <c r="D134" t="s">
        <v>56</v>
      </c>
      <c r="E134" t="str">
        <f t="shared" si="4"/>
        <v>Gasto</v>
      </c>
      <c r="G134"/>
      <c r="I13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4">
        <v>1</v>
      </c>
    </row>
    <row r="135" spans="1:12" hidden="1" x14ac:dyDescent="0.3">
      <c r="A135" s="9">
        <v>45566</v>
      </c>
      <c r="B135" s="4" t="s">
        <v>74</v>
      </c>
      <c r="C135" s="10">
        <v>14285</v>
      </c>
      <c r="D135" t="s">
        <v>56</v>
      </c>
      <c r="E135" t="str">
        <f t="shared" si="4"/>
        <v>Gasto</v>
      </c>
      <c r="G135"/>
      <c r="I13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5">
        <v>1</v>
      </c>
    </row>
    <row r="136" spans="1:12" hidden="1" x14ac:dyDescent="0.3">
      <c r="A136" s="9">
        <v>45566</v>
      </c>
      <c r="B136" s="4" t="s">
        <v>29</v>
      </c>
      <c r="C136" s="10">
        <v>8715</v>
      </c>
      <c r="D136" t="s">
        <v>27</v>
      </c>
      <c r="E136" t="str">
        <f t="shared" si="4"/>
        <v>Gasto</v>
      </c>
      <c r="G136"/>
      <c r="I13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6">
        <v>1</v>
      </c>
    </row>
    <row r="137" spans="1:12" hidden="1" x14ac:dyDescent="0.3">
      <c r="A137" s="9">
        <v>45566</v>
      </c>
      <c r="B137" s="4" t="s">
        <v>45</v>
      </c>
      <c r="C137" s="10">
        <v>2130</v>
      </c>
      <c r="D137" t="s">
        <v>27</v>
      </c>
      <c r="E137" t="str">
        <f t="shared" si="4"/>
        <v>Gasto</v>
      </c>
      <c r="G137"/>
      <c r="I13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7">
        <v>1</v>
      </c>
    </row>
    <row r="138" spans="1:12" hidden="1" x14ac:dyDescent="0.3">
      <c r="A138" s="9">
        <v>45566</v>
      </c>
      <c r="B138" s="4" t="s">
        <v>54</v>
      </c>
      <c r="C138" s="10">
        <v>3000</v>
      </c>
      <c r="D138" t="s">
        <v>27</v>
      </c>
      <c r="E138" t="str">
        <f t="shared" si="4"/>
        <v>Gasto</v>
      </c>
      <c r="G138"/>
      <c r="I13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8">
        <v>1</v>
      </c>
    </row>
    <row r="139" spans="1:12" hidden="1" x14ac:dyDescent="0.3">
      <c r="A139" s="9">
        <v>45566</v>
      </c>
      <c r="B139" s="5" t="s">
        <v>46</v>
      </c>
      <c r="C139" s="10">
        <v>25000</v>
      </c>
      <c r="D139" t="s">
        <v>32</v>
      </c>
      <c r="E139" t="str">
        <f t="shared" si="4"/>
        <v>Gasto</v>
      </c>
      <c r="G139"/>
      <c r="I13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39">
        <v>1</v>
      </c>
    </row>
    <row r="140" spans="1:12" hidden="1" x14ac:dyDescent="0.3">
      <c r="A140" s="9">
        <v>45566</v>
      </c>
      <c r="B140" s="6" t="s">
        <v>75</v>
      </c>
      <c r="C140" s="10">
        <v>20000</v>
      </c>
      <c r="D140" t="s">
        <v>16</v>
      </c>
      <c r="E140" t="str">
        <f t="shared" si="4"/>
        <v>Gasto</v>
      </c>
      <c r="G140"/>
      <c r="I14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0">
        <v>1</v>
      </c>
    </row>
    <row r="141" spans="1:12" hidden="1" x14ac:dyDescent="0.3">
      <c r="A141" s="9">
        <v>45566</v>
      </c>
      <c r="B141" s="2" t="s">
        <v>34</v>
      </c>
      <c r="C141" s="10">
        <v>685494</v>
      </c>
      <c r="D141" t="s">
        <v>35</v>
      </c>
      <c r="E141" t="str">
        <f t="shared" si="4"/>
        <v>Ingreso</v>
      </c>
      <c r="G141"/>
      <c r="I14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1">
        <v>1</v>
      </c>
    </row>
    <row r="142" spans="1:12" hidden="1" x14ac:dyDescent="0.3">
      <c r="A142" s="9">
        <v>45566</v>
      </c>
      <c r="B142" s="2" t="s">
        <v>36</v>
      </c>
      <c r="C142" s="10">
        <v>81685</v>
      </c>
      <c r="D142" t="s">
        <v>35</v>
      </c>
      <c r="E142" t="str">
        <f t="shared" si="4"/>
        <v>Ingreso</v>
      </c>
      <c r="G142"/>
      <c r="I14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2">
        <v>1</v>
      </c>
    </row>
    <row r="143" spans="1:12" hidden="1" x14ac:dyDescent="0.3">
      <c r="A143" s="9">
        <v>45566</v>
      </c>
      <c r="B143" s="6" t="s">
        <v>51</v>
      </c>
      <c r="C143" s="10">
        <v>80000</v>
      </c>
      <c r="D143" t="s">
        <v>52</v>
      </c>
      <c r="E143" t="str">
        <f t="shared" si="4"/>
        <v>Gasto</v>
      </c>
      <c r="G143"/>
      <c r="I14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3">
        <v>1</v>
      </c>
    </row>
    <row r="144" spans="1:12" hidden="1" x14ac:dyDescent="0.3">
      <c r="A144" s="9">
        <v>45597</v>
      </c>
      <c r="B144" s="2" t="s">
        <v>18</v>
      </c>
      <c r="C144" s="10">
        <v>57102</v>
      </c>
      <c r="D144" t="s">
        <v>19</v>
      </c>
      <c r="E144" t="str">
        <f t="shared" si="4"/>
        <v>Gasto</v>
      </c>
      <c r="G144"/>
      <c r="I14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4">
        <v>1</v>
      </c>
    </row>
    <row r="145" spans="1:12" hidden="1" x14ac:dyDescent="0.3">
      <c r="A145" s="9">
        <v>45597</v>
      </c>
      <c r="B145" s="3" t="s">
        <v>37</v>
      </c>
      <c r="C145" s="10">
        <v>18000</v>
      </c>
      <c r="D145" t="s">
        <v>38</v>
      </c>
      <c r="E145" t="str">
        <f t="shared" si="4"/>
        <v>Gasto</v>
      </c>
      <c r="G145"/>
      <c r="I14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5">
        <v>1</v>
      </c>
    </row>
    <row r="146" spans="1:12" hidden="1" x14ac:dyDescent="0.3">
      <c r="A146" s="9">
        <v>45597</v>
      </c>
      <c r="B146" s="3" t="s">
        <v>15</v>
      </c>
      <c r="C146" s="10">
        <v>135786</v>
      </c>
      <c r="D146" t="s">
        <v>16</v>
      </c>
      <c r="E146" t="str">
        <f t="shared" si="4"/>
        <v>Gasto</v>
      </c>
      <c r="G146"/>
      <c r="I14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6">
        <v>1</v>
      </c>
    </row>
    <row r="147" spans="1:12" hidden="1" x14ac:dyDescent="0.3">
      <c r="A147" s="9">
        <v>45597</v>
      </c>
      <c r="B147" s="3" t="s">
        <v>22</v>
      </c>
      <c r="C147" s="10">
        <v>2200</v>
      </c>
      <c r="D147" t="s">
        <v>23</v>
      </c>
      <c r="E147" t="str">
        <f t="shared" si="4"/>
        <v>Gasto</v>
      </c>
      <c r="G147"/>
      <c r="I14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7">
        <v>1</v>
      </c>
    </row>
    <row r="148" spans="1:12" hidden="1" x14ac:dyDescent="0.3">
      <c r="A148" s="9">
        <v>45597</v>
      </c>
      <c r="B148" s="3" t="s">
        <v>76</v>
      </c>
      <c r="C148" s="10">
        <v>32600</v>
      </c>
      <c r="D148" t="s">
        <v>56</v>
      </c>
      <c r="E148" t="str">
        <f t="shared" si="4"/>
        <v>Gasto</v>
      </c>
      <c r="G148"/>
      <c r="I14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8">
        <v>1</v>
      </c>
    </row>
    <row r="149" spans="1:12" hidden="1" x14ac:dyDescent="0.3">
      <c r="A149" s="9">
        <v>45597</v>
      </c>
      <c r="B149" s="4" t="s">
        <v>77</v>
      </c>
      <c r="C149" s="10">
        <v>14285</v>
      </c>
      <c r="D149" t="s">
        <v>56</v>
      </c>
      <c r="E149" t="str">
        <f t="shared" si="4"/>
        <v>Gasto</v>
      </c>
      <c r="G149"/>
      <c r="I14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49">
        <v>1</v>
      </c>
    </row>
    <row r="150" spans="1:12" hidden="1" x14ac:dyDescent="0.3">
      <c r="A150" s="9">
        <v>45597</v>
      </c>
      <c r="B150" s="4" t="s">
        <v>78</v>
      </c>
      <c r="C150" s="10">
        <v>16552</v>
      </c>
      <c r="D150" t="s">
        <v>56</v>
      </c>
      <c r="E150" t="str">
        <f t="shared" si="4"/>
        <v>Gasto</v>
      </c>
      <c r="G150"/>
      <c r="I15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0">
        <v>1</v>
      </c>
    </row>
    <row r="151" spans="1:12" hidden="1" x14ac:dyDescent="0.3">
      <c r="A151" s="9">
        <v>45597</v>
      </c>
      <c r="B151" s="4" t="s">
        <v>29</v>
      </c>
      <c r="C151" s="10">
        <v>8715</v>
      </c>
      <c r="D151" t="s">
        <v>27</v>
      </c>
      <c r="E151" t="str">
        <f t="shared" si="4"/>
        <v>Gasto</v>
      </c>
      <c r="G151"/>
      <c r="I15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1">
        <v>1</v>
      </c>
    </row>
    <row r="152" spans="1:12" hidden="1" x14ac:dyDescent="0.3">
      <c r="A152" s="9">
        <v>45597</v>
      </c>
      <c r="B152" s="4" t="s">
        <v>45</v>
      </c>
      <c r="C152" s="10">
        <v>2130</v>
      </c>
      <c r="D152" t="s">
        <v>27</v>
      </c>
      <c r="E152" t="str">
        <f t="shared" si="4"/>
        <v>Gasto</v>
      </c>
      <c r="G152"/>
      <c r="I15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2">
        <v>1</v>
      </c>
    </row>
    <row r="153" spans="1:12" hidden="1" x14ac:dyDescent="0.3">
      <c r="A153" s="9">
        <v>45597</v>
      </c>
      <c r="B153" s="4" t="s">
        <v>54</v>
      </c>
      <c r="C153" s="10">
        <v>3000</v>
      </c>
      <c r="D153" t="s">
        <v>27</v>
      </c>
      <c r="E153" t="str">
        <f t="shared" si="4"/>
        <v>Gasto</v>
      </c>
      <c r="G153"/>
      <c r="I15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3">
        <v>1</v>
      </c>
    </row>
    <row r="154" spans="1:12" hidden="1" x14ac:dyDescent="0.3">
      <c r="A154" s="9">
        <v>45597</v>
      </c>
      <c r="B154" s="7" t="s">
        <v>46</v>
      </c>
      <c r="C154" s="10">
        <v>25000</v>
      </c>
      <c r="D154" t="s">
        <v>32</v>
      </c>
      <c r="E154" t="str">
        <f t="shared" si="4"/>
        <v>Gasto</v>
      </c>
      <c r="G154"/>
      <c r="I15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4">
        <v>1</v>
      </c>
    </row>
    <row r="155" spans="1:12" hidden="1" x14ac:dyDescent="0.3">
      <c r="A155" s="9">
        <v>45597</v>
      </c>
      <c r="B155" s="6" t="s">
        <v>75</v>
      </c>
      <c r="C155" s="10">
        <v>20000</v>
      </c>
      <c r="D155" t="s">
        <v>16</v>
      </c>
      <c r="E155" t="str">
        <f t="shared" si="4"/>
        <v>Gasto</v>
      </c>
      <c r="G155"/>
      <c r="I15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5">
        <v>1</v>
      </c>
    </row>
    <row r="156" spans="1:12" hidden="1" x14ac:dyDescent="0.3">
      <c r="A156" s="9">
        <v>45597</v>
      </c>
      <c r="B156" s="8" t="s">
        <v>79</v>
      </c>
      <c r="C156" s="10">
        <v>33688</v>
      </c>
      <c r="D156" t="s">
        <v>56</v>
      </c>
      <c r="E156" t="str">
        <f t="shared" si="4"/>
        <v>Gasto</v>
      </c>
      <c r="G156"/>
      <c r="I15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6">
        <v>1</v>
      </c>
    </row>
    <row r="157" spans="1:12" hidden="1" x14ac:dyDescent="0.3">
      <c r="A157" s="9">
        <v>45597</v>
      </c>
      <c r="B157" s="2" t="s">
        <v>34</v>
      </c>
      <c r="C157" s="10">
        <v>719769</v>
      </c>
      <c r="D157" t="s">
        <v>35</v>
      </c>
      <c r="E157" t="str">
        <f t="shared" si="4"/>
        <v>Ingreso</v>
      </c>
      <c r="G157"/>
      <c r="I15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7">
        <v>1</v>
      </c>
    </row>
    <row r="158" spans="1:12" hidden="1" x14ac:dyDescent="0.3">
      <c r="A158" s="9">
        <v>45597</v>
      </c>
      <c r="B158" s="2" t="s">
        <v>36</v>
      </c>
      <c r="C158" s="10">
        <v>81685</v>
      </c>
      <c r="D158" t="s">
        <v>35</v>
      </c>
      <c r="E158" t="str">
        <f t="shared" si="4"/>
        <v>Ingreso</v>
      </c>
      <c r="G158"/>
      <c r="I15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8">
        <v>1</v>
      </c>
    </row>
    <row r="159" spans="1:12" hidden="1" x14ac:dyDescent="0.3">
      <c r="A159" s="9">
        <v>45597</v>
      </c>
      <c r="B159" s="6" t="s">
        <v>51</v>
      </c>
      <c r="C159" s="10">
        <v>80000</v>
      </c>
      <c r="D159" t="s">
        <v>52</v>
      </c>
      <c r="E159" t="str">
        <f t="shared" si="4"/>
        <v>Gasto</v>
      </c>
      <c r="G159"/>
      <c r="I15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5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59">
        <v>1</v>
      </c>
    </row>
    <row r="160" spans="1:12" hidden="1" x14ac:dyDescent="0.3">
      <c r="A160" s="9">
        <v>45627</v>
      </c>
      <c r="B160" s="2" t="s">
        <v>18</v>
      </c>
      <c r="C160" s="10">
        <v>71378</v>
      </c>
      <c r="D160" t="s">
        <v>19</v>
      </c>
      <c r="E160" t="str">
        <f t="shared" si="4"/>
        <v>Gasto</v>
      </c>
      <c r="G160"/>
      <c r="I16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0">
        <v>1</v>
      </c>
    </row>
    <row r="161" spans="1:12" hidden="1" x14ac:dyDescent="0.3">
      <c r="A161" s="9">
        <v>45627</v>
      </c>
      <c r="B161" s="3" t="s">
        <v>37</v>
      </c>
      <c r="C161" s="10">
        <v>18000</v>
      </c>
      <c r="D161" t="s">
        <v>38</v>
      </c>
      <c r="E161" t="str">
        <f t="shared" si="4"/>
        <v>Gasto</v>
      </c>
      <c r="G161"/>
      <c r="I16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1">
        <v>1</v>
      </c>
    </row>
    <row r="162" spans="1:12" hidden="1" x14ac:dyDescent="0.3">
      <c r="A162" s="9">
        <v>45627</v>
      </c>
      <c r="B162" s="3" t="s">
        <v>15</v>
      </c>
      <c r="C162" s="10">
        <v>203678</v>
      </c>
      <c r="D162" t="s">
        <v>16</v>
      </c>
      <c r="E162" t="str">
        <f t="shared" ref="E162:E192" si="5">IF(B162="Trabajo","Ingreso",IF(B162="Beca","Ingreso","Gasto"))</f>
        <v>Gasto</v>
      </c>
      <c r="G162"/>
      <c r="I16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2">
        <v>1</v>
      </c>
    </row>
    <row r="163" spans="1:12" hidden="1" x14ac:dyDescent="0.3">
      <c r="A163" s="9">
        <v>45627</v>
      </c>
      <c r="B163" s="3" t="s">
        <v>22</v>
      </c>
      <c r="C163" s="10">
        <v>2200</v>
      </c>
      <c r="D163" t="s">
        <v>23</v>
      </c>
      <c r="E163" t="str">
        <f t="shared" si="5"/>
        <v>Gasto</v>
      </c>
      <c r="G163"/>
      <c r="I16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3">
        <v>1</v>
      </c>
    </row>
    <row r="164" spans="1:12" hidden="1" x14ac:dyDescent="0.3">
      <c r="A164" s="9">
        <v>45627</v>
      </c>
      <c r="B164" s="3" t="s">
        <v>80</v>
      </c>
      <c r="C164" s="10">
        <v>32600</v>
      </c>
      <c r="D164" t="s">
        <v>56</v>
      </c>
      <c r="E164" t="str">
        <f t="shared" si="5"/>
        <v>Gasto</v>
      </c>
      <c r="G164"/>
      <c r="I16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4">
        <v>1</v>
      </c>
    </row>
    <row r="165" spans="1:12" hidden="1" x14ac:dyDescent="0.3">
      <c r="A165" s="9">
        <v>45627</v>
      </c>
      <c r="B165" s="3" t="s">
        <v>81</v>
      </c>
      <c r="C165" s="10">
        <v>180000</v>
      </c>
      <c r="D165" t="s">
        <v>19</v>
      </c>
      <c r="E165" t="str">
        <f t="shared" si="5"/>
        <v>Gasto</v>
      </c>
      <c r="G165"/>
      <c r="I16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5">
        <v>1</v>
      </c>
    </row>
    <row r="166" spans="1:12" hidden="1" x14ac:dyDescent="0.3">
      <c r="A166" s="9">
        <v>45627</v>
      </c>
      <c r="B166" s="4" t="s">
        <v>82</v>
      </c>
      <c r="C166" s="10">
        <v>14285</v>
      </c>
      <c r="D166" t="s">
        <v>56</v>
      </c>
      <c r="E166" t="str">
        <f t="shared" si="5"/>
        <v>Gasto</v>
      </c>
      <c r="G166"/>
      <c r="I16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6">
        <v>1</v>
      </c>
    </row>
    <row r="167" spans="1:12" hidden="1" x14ac:dyDescent="0.3">
      <c r="A167" s="9">
        <v>45627</v>
      </c>
      <c r="B167" s="4" t="s">
        <v>83</v>
      </c>
      <c r="C167" s="10">
        <v>16552</v>
      </c>
      <c r="D167" t="s">
        <v>56</v>
      </c>
      <c r="E167" t="str">
        <f t="shared" si="5"/>
        <v>Gasto</v>
      </c>
      <c r="G167"/>
      <c r="I167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7">
        <v>1</v>
      </c>
    </row>
    <row r="168" spans="1:12" hidden="1" x14ac:dyDescent="0.3">
      <c r="A168" s="9">
        <v>45627</v>
      </c>
      <c r="B168" s="4" t="s">
        <v>29</v>
      </c>
      <c r="C168" s="10">
        <v>8715</v>
      </c>
      <c r="D168" t="s">
        <v>27</v>
      </c>
      <c r="E168" t="str">
        <f t="shared" si="5"/>
        <v>Gasto</v>
      </c>
      <c r="G168"/>
      <c r="I168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8">
        <v>1</v>
      </c>
    </row>
    <row r="169" spans="1:12" hidden="1" x14ac:dyDescent="0.3">
      <c r="A169" s="9">
        <v>45627</v>
      </c>
      <c r="B169" s="4" t="s">
        <v>45</v>
      </c>
      <c r="C169" s="10">
        <v>2130</v>
      </c>
      <c r="D169" t="s">
        <v>27</v>
      </c>
      <c r="E169" t="str">
        <f t="shared" si="5"/>
        <v>Gasto</v>
      </c>
      <c r="G169"/>
      <c r="I169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6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69">
        <v>1</v>
      </c>
    </row>
    <row r="170" spans="1:12" hidden="1" x14ac:dyDescent="0.3">
      <c r="A170" s="9">
        <v>45627</v>
      </c>
      <c r="B170" s="4" t="s">
        <v>54</v>
      </c>
      <c r="C170" s="10">
        <v>3000</v>
      </c>
      <c r="D170" t="s">
        <v>27</v>
      </c>
      <c r="E170" t="str">
        <f t="shared" si="5"/>
        <v>Gasto</v>
      </c>
      <c r="G170"/>
      <c r="I170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0">
        <v>1</v>
      </c>
    </row>
    <row r="171" spans="1:12" hidden="1" x14ac:dyDescent="0.3">
      <c r="A171" s="9">
        <v>45627</v>
      </c>
      <c r="B171" s="5" t="s">
        <v>46</v>
      </c>
      <c r="C171" s="10">
        <v>32000</v>
      </c>
      <c r="D171" t="s">
        <v>32</v>
      </c>
      <c r="E171" t="str">
        <f t="shared" si="5"/>
        <v>Gasto</v>
      </c>
      <c r="G171"/>
      <c r="I171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1">
        <v>1</v>
      </c>
    </row>
    <row r="172" spans="1:12" hidden="1" x14ac:dyDescent="0.3">
      <c r="A172" s="9">
        <v>45627</v>
      </c>
      <c r="B172" s="5" t="s">
        <v>84</v>
      </c>
      <c r="C172" s="10">
        <v>40000</v>
      </c>
      <c r="D172" t="s">
        <v>41</v>
      </c>
      <c r="E172" t="str">
        <f t="shared" si="5"/>
        <v>Gasto</v>
      </c>
      <c r="G172"/>
      <c r="I172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2">
        <v>1</v>
      </c>
    </row>
    <row r="173" spans="1:12" hidden="1" x14ac:dyDescent="0.3">
      <c r="A173" s="9">
        <v>45627</v>
      </c>
      <c r="B173" s="6" t="s">
        <v>85</v>
      </c>
      <c r="C173" s="10">
        <v>28000</v>
      </c>
      <c r="D173" t="s">
        <v>38</v>
      </c>
      <c r="E173" t="str">
        <f t="shared" si="5"/>
        <v>Gasto</v>
      </c>
      <c r="G173"/>
      <c r="I173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3">
        <v>1</v>
      </c>
    </row>
    <row r="174" spans="1:12" hidden="1" x14ac:dyDescent="0.3">
      <c r="A174" s="9">
        <v>45627</v>
      </c>
      <c r="B174" s="2" t="s">
        <v>34</v>
      </c>
      <c r="C174" s="10">
        <v>1482606</v>
      </c>
      <c r="D174" t="s">
        <v>35</v>
      </c>
      <c r="E174" t="str">
        <f t="shared" si="5"/>
        <v>Ingreso</v>
      </c>
      <c r="G174"/>
      <c r="I17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4">
        <v>1</v>
      </c>
    </row>
    <row r="175" spans="1:12" hidden="1" x14ac:dyDescent="0.3">
      <c r="A175" s="9">
        <v>45627</v>
      </c>
      <c r="B175" s="2" t="s">
        <v>36</v>
      </c>
      <c r="C175" s="10">
        <v>81685</v>
      </c>
      <c r="D175" t="s">
        <v>35</v>
      </c>
      <c r="E175" t="str">
        <f t="shared" si="5"/>
        <v>Ingreso</v>
      </c>
      <c r="G175"/>
      <c r="I175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5">
        <v>1</v>
      </c>
    </row>
    <row r="176" spans="1:12" hidden="1" x14ac:dyDescent="0.3">
      <c r="A176" s="9">
        <v>45627</v>
      </c>
      <c r="B176" s="6" t="s">
        <v>51</v>
      </c>
      <c r="C176" s="10">
        <v>52500</v>
      </c>
      <c r="D176" t="s">
        <v>52</v>
      </c>
      <c r="E176" t="str">
        <f t="shared" si="5"/>
        <v>Gasto</v>
      </c>
      <c r="G176"/>
      <c r="I176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17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6">
        <v>1</v>
      </c>
    </row>
    <row r="177" spans="1:12" hidden="1" x14ac:dyDescent="0.3">
      <c r="A177" s="9">
        <v>45658</v>
      </c>
      <c r="B177" s="2" t="s">
        <v>18</v>
      </c>
      <c r="C177" s="10">
        <v>71000</v>
      </c>
      <c r="D177" t="s">
        <v>19</v>
      </c>
      <c r="E177" t="str">
        <f t="shared" si="5"/>
        <v>Gasto</v>
      </c>
      <c r="G177"/>
      <c r="H177" s="11"/>
      <c r="I17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77">
        <v>1</v>
      </c>
      <c r="K17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7">
        <v>1</v>
      </c>
    </row>
    <row r="178" spans="1:12" hidden="1" x14ac:dyDescent="0.3">
      <c r="A178" s="9">
        <v>45658</v>
      </c>
      <c r="B178" s="3" t="s">
        <v>37</v>
      </c>
      <c r="C178" s="10">
        <v>18000</v>
      </c>
      <c r="D178" t="s">
        <v>38</v>
      </c>
      <c r="E178" t="str">
        <f t="shared" si="5"/>
        <v>Gasto</v>
      </c>
      <c r="G178"/>
      <c r="H178" s="11"/>
      <c r="I178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78">
        <v>1</v>
      </c>
      <c r="K17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8">
        <v>1</v>
      </c>
    </row>
    <row r="179" spans="1:12" hidden="1" x14ac:dyDescent="0.3">
      <c r="A179" s="9">
        <v>45658</v>
      </c>
      <c r="B179" s="3" t="s">
        <v>86</v>
      </c>
      <c r="C179" s="10">
        <v>139859</v>
      </c>
      <c r="D179" t="s">
        <v>16</v>
      </c>
      <c r="E179" t="str">
        <f t="shared" si="5"/>
        <v>Gasto</v>
      </c>
      <c r="G179"/>
      <c r="H179" s="11"/>
      <c r="I179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79">
        <v>1</v>
      </c>
      <c r="K17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79">
        <v>1</v>
      </c>
    </row>
    <row r="180" spans="1:12" hidden="1" x14ac:dyDescent="0.3">
      <c r="A180" s="9">
        <v>45658</v>
      </c>
      <c r="B180" s="3" t="s">
        <v>22</v>
      </c>
      <c r="C180" s="10">
        <v>2200</v>
      </c>
      <c r="D180" t="s">
        <v>23</v>
      </c>
      <c r="E180" t="str">
        <f t="shared" si="5"/>
        <v>Gasto</v>
      </c>
      <c r="G180"/>
      <c r="H180" s="11"/>
      <c r="I18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80">
        <v>1</v>
      </c>
      <c r="K18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0">
        <v>1</v>
      </c>
    </row>
    <row r="181" spans="1:12" hidden="1" x14ac:dyDescent="0.3">
      <c r="A181" s="9">
        <v>45658</v>
      </c>
      <c r="B181" s="3" t="s">
        <v>87</v>
      </c>
      <c r="C181" s="10">
        <v>32600</v>
      </c>
      <c r="D181" t="s">
        <v>56</v>
      </c>
      <c r="E181" t="str">
        <f t="shared" si="5"/>
        <v>Gasto</v>
      </c>
      <c r="G181">
        <v>5</v>
      </c>
      <c r="H181" s="11">
        <v>4</v>
      </c>
      <c r="I181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81">
        <v>1</v>
      </c>
      <c r="K18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1">
        <v>1</v>
      </c>
    </row>
    <row r="182" spans="1:12" hidden="1" x14ac:dyDescent="0.3">
      <c r="A182" s="9">
        <v>45658</v>
      </c>
      <c r="B182" s="3" t="s">
        <v>88</v>
      </c>
      <c r="C182" s="10">
        <v>21000</v>
      </c>
      <c r="D182" t="s">
        <v>23</v>
      </c>
      <c r="E182" t="str">
        <f t="shared" si="5"/>
        <v>Gasto</v>
      </c>
      <c r="G182"/>
      <c r="H182" s="11"/>
      <c r="I182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82">
        <v>1</v>
      </c>
      <c r="K18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2">
        <v>1</v>
      </c>
    </row>
    <row r="183" spans="1:12" hidden="1" x14ac:dyDescent="0.3">
      <c r="A183" s="9">
        <v>45658</v>
      </c>
      <c r="B183" s="3" t="s">
        <v>89</v>
      </c>
      <c r="C183" s="10">
        <v>16552</v>
      </c>
      <c r="D183" t="s">
        <v>56</v>
      </c>
      <c r="E183" t="str">
        <f t="shared" si="5"/>
        <v>Gasto</v>
      </c>
      <c r="G183">
        <v>6</v>
      </c>
      <c r="H183" s="11">
        <v>3</v>
      </c>
      <c r="I18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83">
        <v>2</v>
      </c>
      <c r="K18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3">
        <v>1</v>
      </c>
    </row>
    <row r="184" spans="1:12" hidden="1" x14ac:dyDescent="0.3">
      <c r="A184" s="9">
        <v>45658</v>
      </c>
      <c r="B184" s="3" t="s">
        <v>29</v>
      </c>
      <c r="C184" s="10">
        <v>9122</v>
      </c>
      <c r="D184" t="s">
        <v>27</v>
      </c>
      <c r="E184" t="str">
        <f t="shared" si="5"/>
        <v>Gasto</v>
      </c>
      <c r="G184"/>
      <c r="H184" s="11"/>
      <c r="I18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84">
        <v>2</v>
      </c>
      <c r="K18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4">
        <v>1</v>
      </c>
    </row>
    <row r="185" spans="1:12" hidden="1" x14ac:dyDescent="0.3">
      <c r="A185" s="9">
        <v>45658</v>
      </c>
      <c r="B185" s="3" t="s">
        <v>45</v>
      </c>
      <c r="C185" s="10">
        <v>2000</v>
      </c>
      <c r="D185" t="s">
        <v>27</v>
      </c>
      <c r="E185" t="str">
        <f t="shared" si="5"/>
        <v>Gasto</v>
      </c>
      <c r="G185"/>
      <c r="H185" s="11"/>
      <c r="I18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85">
        <v>2</v>
      </c>
      <c r="K18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5">
        <v>1</v>
      </c>
    </row>
    <row r="186" spans="1:12" hidden="1" x14ac:dyDescent="0.3">
      <c r="A186" s="9">
        <v>45658</v>
      </c>
      <c r="B186" s="3" t="s">
        <v>54</v>
      </c>
      <c r="C186" s="10">
        <v>3391</v>
      </c>
      <c r="D186" t="s">
        <v>27</v>
      </c>
      <c r="E186" t="str">
        <f t="shared" si="5"/>
        <v>Gasto</v>
      </c>
      <c r="G186"/>
      <c r="H186" s="11"/>
      <c r="I18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86">
        <v>2</v>
      </c>
      <c r="K18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6">
        <v>1</v>
      </c>
    </row>
    <row r="187" spans="1:12" hidden="1" x14ac:dyDescent="0.3">
      <c r="A187" s="9">
        <v>45658</v>
      </c>
      <c r="B187" s="3" t="s">
        <v>90</v>
      </c>
      <c r="C187" s="10">
        <v>100000</v>
      </c>
      <c r="D187" t="s">
        <v>91</v>
      </c>
      <c r="E187" t="str">
        <f t="shared" si="5"/>
        <v>Gasto</v>
      </c>
      <c r="G187"/>
      <c r="H187" s="11"/>
      <c r="I187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187">
        <v>3</v>
      </c>
      <c r="K18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7">
        <v>1</v>
      </c>
    </row>
    <row r="188" spans="1:12" hidden="1" x14ac:dyDescent="0.3">
      <c r="A188" s="9">
        <v>45658</v>
      </c>
      <c r="B188" s="3" t="s">
        <v>84</v>
      </c>
      <c r="C188" s="10">
        <v>40000</v>
      </c>
      <c r="D188" t="s">
        <v>41</v>
      </c>
      <c r="E188" t="str">
        <f t="shared" si="5"/>
        <v>Gasto</v>
      </c>
      <c r="G188"/>
      <c r="H188" s="11"/>
      <c r="I188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188">
        <v>3</v>
      </c>
      <c r="K18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8">
        <v>1</v>
      </c>
    </row>
    <row r="189" spans="1:12" hidden="1" x14ac:dyDescent="0.3">
      <c r="A189" s="9">
        <v>45658</v>
      </c>
      <c r="B189" s="3" t="s">
        <v>92</v>
      </c>
      <c r="C189" s="10">
        <v>52500</v>
      </c>
      <c r="D189" t="s">
        <v>52</v>
      </c>
      <c r="E189" t="str">
        <f t="shared" si="5"/>
        <v>Gasto</v>
      </c>
      <c r="G189"/>
      <c r="H189" s="11"/>
      <c r="I18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89">
        <v>2</v>
      </c>
      <c r="K18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89">
        <v>1</v>
      </c>
    </row>
    <row r="190" spans="1:12" hidden="1" x14ac:dyDescent="0.3">
      <c r="A190" s="9">
        <v>45658</v>
      </c>
      <c r="B190" s="3" t="s">
        <v>93</v>
      </c>
      <c r="C190" s="10">
        <v>33000</v>
      </c>
      <c r="D190" t="s">
        <v>38</v>
      </c>
      <c r="E190" t="str">
        <f t="shared" si="5"/>
        <v>Gasto</v>
      </c>
      <c r="G190"/>
      <c r="H190" s="11"/>
      <c r="I19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90">
        <v>2</v>
      </c>
      <c r="K19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0">
        <v>1</v>
      </c>
    </row>
    <row r="191" spans="1:12" hidden="1" x14ac:dyDescent="0.3">
      <c r="A191" s="9">
        <v>45658</v>
      </c>
      <c r="B191" s="2" t="s">
        <v>34</v>
      </c>
      <c r="C191" s="10">
        <v>865083</v>
      </c>
      <c r="D191" t="s">
        <v>35</v>
      </c>
      <c r="E191" t="str">
        <f t="shared" si="5"/>
        <v>Ingreso</v>
      </c>
      <c r="G191"/>
      <c r="H191" s="11"/>
      <c r="I191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191">
        <v>4</v>
      </c>
      <c r="K19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1">
        <v>1</v>
      </c>
    </row>
    <row r="192" spans="1:12" hidden="1" x14ac:dyDescent="0.3">
      <c r="A192" s="9">
        <v>45658</v>
      </c>
      <c r="B192" s="2" t="s">
        <v>36</v>
      </c>
      <c r="C192" s="10">
        <v>81685</v>
      </c>
      <c r="D192" t="s">
        <v>35</v>
      </c>
      <c r="E192" t="str">
        <f t="shared" si="5"/>
        <v>Ingreso</v>
      </c>
      <c r="G192"/>
      <c r="H192" s="11"/>
      <c r="I192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192">
        <v>4</v>
      </c>
      <c r="K19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2">
        <v>1</v>
      </c>
    </row>
    <row r="193" spans="1:12" hidden="1" x14ac:dyDescent="0.3">
      <c r="A193" s="9">
        <v>45658</v>
      </c>
      <c r="B193" s="3" t="s">
        <v>94</v>
      </c>
      <c r="C193" s="10">
        <v>34000</v>
      </c>
      <c r="D193" t="s">
        <v>16</v>
      </c>
      <c r="E193" t="s">
        <v>95</v>
      </c>
      <c r="G193"/>
      <c r="H193" s="11"/>
      <c r="I19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93">
        <v>2</v>
      </c>
      <c r="K19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3">
        <v>1</v>
      </c>
    </row>
    <row r="194" spans="1:12" hidden="1" x14ac:dyDescent="0.3">
      <c r="A194" s="9">
        <v>45658</v>
      </c>
      <c r="B194" s="3" t="s">
        <v>96</v>
      </c>
      <c r="C194" s="10">
        <v>1904</v>
      </c>
      <c r="D194" t="s">
        <v>27</v>
      </c>
      <c r="E194" t="s">
        <v>95</v>
      </c>
      <c r="G194"/>
      <c r="H194" s="11"/>
      <c r="I19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94">
        <v>2</v>
      </c>
      <c r="K19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4">
        <v>1</v>
      </c>
    </row>
    <row r="195" spans="1:12" hidden="1" x14ac:dyDescent="0.3">
      <c r="A195" s="9">
        <v>45658</v>
      </c>
      <c r="B195" s="3" t="s">
        <v>97</v>
      </c>
      <c r="C195" s="10">
        <v>51198</v>
      </c>
      <c r="D195" t="s">
        <v>97</v>
      </c>
      <c r="E195" t="s">
        <v>95</v>
      </c>
      <c r="G195"/>
      <c r="H195" s="11"/>
      <c r="I19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195">
        <v>2</v>
      </c>
      <c r="K19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5">
        <v>1</v>
      </c>
    </row>
    <row r="196" spans="1:12" hidden="1" x14ac:dyDescent="0.3">
      <c r="A196" s="9">
        <v>45689</v>
      </c>
      <c r="B196" s="3" t="s">
        <v>18</v>
      </c>
      <c r="C196" s="10">
        <v>76300</v>
      </c>
      <c r="D196" t="s">
        <v>19</v>
      </c>
      <c r="E196" t="s">
        <v>95</v>
      </c>
      <c r="G196"/>
      <c r="H196" s="11"/>
      <c r="I196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96">
        <v>1</v>
      </c>
      <c r="K19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6">
        <v>1</v>
      </c>
    </row>
    <row r="197" spans="1:12" hidden="1" x14ac:dyDescent="0.3">
      <c r="A197" s="9">
        <v>45689</v>
      </c>
      <c r="B197" s="3" t="s">
        <v>37</v>
      </c>
      <c r="C197" s="10">
        <v>25000</v>
      </c>
      <c r="D197" t="s">
        <v>38</v>
      </c>
      <c r="E197" t="s">
        <v>95</v>
      </c>
      <c r="G197"/>
      <c r="H197" s="11"/>
      <c r="I19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97">
        <v>1</v>
      </c>
      <c r="K19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7">
        <v>1</v>
      </c>
    </row>
    <row r="198" spans="1:12" hidden="1" x14ac:dyDescent="0.3">
      <c r="A198" s="9">
        <v>45689</v>
      </c>
      <c r="B198" s="3" t="s">
        <v>86</v>
      </c>
      <c r="C198">
        <v>143355.5</v>
      </c>
      <c r="D198" t="s">
        <v>16</v>
      </c>
      <c r="E198" t="s">
        <v>95</v>
      </c>
      <c r="G198"/>
      <c r="H198" s="11"/>
      <c r="I198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98">
        <v>1</v>
      </c>
      <c r="K19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8">
        <v>1</v>
      </c>
    </row>
    <row r="199" spans="1:12" hidden="1" x14ac:dyDescent="0.3">
      <c r="A199" s="9">
        <v>45689</v>
      </c>
      <c r="B199" s="3" t="s">
        <v>98</v>
      </c>
      <c r="C199" s="10">
        <v>10000</v>
      </c>
      <c r="D199" t="s">
        <v>23</v>
      </c>
      <c r="E199" t="s">
        <v>95</v>
      </c>
      <c r="G199"/>
      <c r="H199" s="11"/>
      <c r="I199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199">
        <v>1</v>
      </c>
      <c r="K19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199">
        <v>1</v>
      </c>
    </row>
    <row r="200" spans="1:12" hidden="1" x14ac:dyDescent="0.3">
      <c r="A200" s="9">
        <v>45689</v>
      </c>
      <c r="B200" s="3" t="s">
        <v>99</v>
      </c>
      <c r="C200" s="10">
        <v>32600</v>
      </c>
      <c r="D200" t="s">
        <v>56</v>
      </c>
      <c r="E200" t="s">
        <v>95</v>
      </c>
      <c r="G200">
        <v>5</v>
      </c>
      <c r="H200" s="11">
        <v>5</v>
      </c>
      <c r="I20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00">
        <v>1</v>
      </c>
      <c r="K20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0">
        <v>1</v>
      </c>
    </row>
    <row r="201" spans="1:12" hidden="1" x14ac:dyDescent="0.3">
      <c r="A201" s="9">
        <v>45689</v>
      </c>
      <c r="B201" s="3" t="s">
        <v>100</v>
      </c>
      <c r="C201" s="10">
        <v>22384</v>
      </c>
      <c r="D201" t="s">
        <v>23</v>
      </c>
      <c r="E201" t="s">
        <v>95</v>
      </c>
      <c r="G201"/>
      <c r="H201" s="11"/>
      <c r="I201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01">
        <v>1</v>
      </c>
      <c r="K20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1">
        <v>1</v>
      </c>
    </row>
    <row r="202" spans="1:12" hidden="1" x14ac:dyDescent="0.3">
      <c r="A202" s="9">
        <v>45689</v>
      </c>
      <c r="B202" s="3" t="s">
        <v>101</v>
      </c>
      <c r="C202" s="10">
        <v>16552</v>
      </c>
      <c r="D202" t="s">
        <v>56</v>
      </c>
      <c r="E202" t="s">
        <v>95</v>
      </c>
      <c r="G202">
        <v>6</v>
      </c>
      <c r="H202" s="11">
        <v>4</v>
      </c>
      <c r="I20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2">
        <v>2</v>
      </c>
      <c r="K20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2">
        <v>1</v>
      </c>
    </row>
    <row r="203" spans="1:12" hidden="1" x14ac:dyDescent="0.3">
      <c r="A203" s="9">
        <v>45689</v>
      </c>
      <c r="B203" s="3" t="s">
        <v>102</v>
      </c>
      <c r="C203" s="10">
        <v>9122</v>
      </c>
      <c r="D203" t="s">
        <v>27</v>
      </c>
      <c r="E203" t="s">
        <v>95</v>
      </c>
      <c r="G203"/>
      <c r="H203" s="11"/>
      <c r="I20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3">
        <v>2</v>
      </c>
      <c r="K20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3">
        <v>1</v>
      </c>
    </row>
    <row r="204" spans="1:12" hidden="1" x14ac:dyDescent="0.3">
      <c r="A204" s="9">
        <v>45689</v>
      </c>
      <c r="B204" s="3" t="s">
        <v>103</v>
      </c>
      <c r="C204" s="10">
        <v>2000</v>
      </c>
      <c r="D204" t="s">
        <v>27</v>
      </c>
      <c r="E204" t="s">
        <v>95</v>
      </c>
      <c r="G204"/>
      <c r="H204" s="11"/>
      <c r="I20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4">
        <v>2</v>
      </c>
      <c r="K20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4">
        <v>1</v>
      </c>
    </row>
    <row r="205" spans="1:12" hidden="1" x14ac:dyDescent="0.3">
      <c r="A205" s="9">
        <v>45689</v>
      </c>
      <c r="B205" s="3" t="s">
        <v>104</v>
      </c>
      <c r="C205" s="10">
        <v>3391</v>
      </c>
      <c r="D205" t="s">
        <v>27</v>
      </c>
      <c r="E205" t="s">
        <v>95</v>
      </c>
      <c r="G205"/>
      <c r="H205" s="11"/>
      <c r="I20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5">
        <v>2</v>
      </c>
      <c r="K20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5">
        <v>1</v>
      </c>
    </row>
    <row r="206" spans="1:12" hidden="1" x14ac:dyDescent="0.3">
      <c r="A206" s="9">
        <v>45689</v>
      </c>
      <c r="B206" s="3" t="s">
        <v>105</v>
      </c>
      <c r="C206" s="10">
        <v>2500</v>
      </c>
      <c r="D206" t="s">
        <v>27</v>
      </c>
      <c r="E206" t="s">
        <v>95</v>
      </c>
      <c r="G206"/>
      <c r="H206" s="11"/>
      <c r="I20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6">
        <v>2</v>
      </c>
      <c r="K20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6">
        <v>1</v>
      </c>
    </row>
    <row r="207" spans="1:12" hidden="1" x14ac:dyDescent="0.3">
      <c r="A207" s="9">
        <v>45689</v>
      </c>
      <c r="B207" s="3" t="s">
        <v>106</v>
      </c>
      <c r="C207" s="10">
        <v>55000</v>
      </c>
      <c r="D207" t="s">
        <v>91</v>
      </c>
      <c r="E207" t="s">
        <v>95</v>
      </c>
      <c r="G207"/>
      <c r="H207" s="11"/>
      <c r="I207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07">
        <v>3</v>
      </c>
      <c r="K20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7">
        <v>1</v>
      </c>
    </row>
    <row r="208" spans="1:12" hidden="1" x14ac:dyDescent="0.3">
      <c r="A208" s="9">
        <v>45689</v>
      </c>
      <c r="B208" s="3" t="s">
        <v>107</v>
      </c>
      <c r="C208" s="10">
        <v>40000</v>
      </c>
      <c r="D208" t="s">
        <v>41</v>
      </c>
      <c r="E208" t="s">
        <v>95</v>
      </c>
      <c r="G208"/>
      <c r="H208" s="11"/>
      <c r="I208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08">
        <v>3</v>
      </c>
      <c r="K20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8">
        <v>1</v>
      </c>
    </row>
    <row r="209" spans="1:16" hidden="1" x14ac:dyDescent="0.3">
      <c r="A209" s="9">
        <v>45689</v>
      </c>
      <c r="B209" s="3" t="s">
        <v>52</v>
      </c>
      <c r="C209" s="10">
        <v>52500</v>
      </c>
      <c r="D209" t="s">
        <v>52</v>
      </c>
      <c r="E209" t="s">
        <v>95</v>
      </c>
      <c r="G209"/>
      <c r="H209" s="11"/>
      <c r="I20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09">
        <v>2</v>
      </c>
      <c r="K20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09">
        <v>1</v>
      </c>
    </row>
    <row r="210" spans="1:16" hidden="1" x14ac:dyDescent="0.3">
      <c r="A210" s="9">
        <v>45689</v>
      </c>
      <c r="B210" s="3" t="s">
        <v>108</v>
      </c>
      <c r="C210" s="10">
        <v>16500</v>
      </c>
      <c r="D210" t="s">
        <v>38</v>
      </c>
      <c r="E210" t="s">
        <v>95</v>
      </c>
      <c r="G210"/>
      <c r="H210" s="11"/>
      <c r="I21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0">
        <v>2</v>
      </c>
      <c r="K21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0">
        <v>1</v>
      </c>
      <c r="P210" s="13"/>
    </row>
    <row r="211" spans="1:16" hidden="1" x14ac:dyDescent="0.3">
      <c r="A211" s="9">
        <v>45689</v>
      </c>
      <c r="B211" s="2" t="s">
        <v>34</v>
      </c>
      <c r="C211">
        <v>1144500</v>
      </c>
      <c r="D211" t="s">
        <v>35</v>
      </c>
      <c r="E211" t="s">
        <v>35</v>
      </c>
      <c r="G211"/>
      <c r="H211" s="11"/>
      <c r="I211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11">
        <v>4</v>
      </c>
      <c r="K21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1">
        <v>1</v>
      </c>
    </row>
    <row r="212" spans="1:16" hidden="1" x14ac:dyDescent="0.3">
      <c r="A212" s="9">
        <v>45689</v>
      </c>
      <c r="B212" s="2" t="s">
        <v>36</v>
      </c>
      <c r="C212" s="10">
        <v>81685</v>
      </c>
      <c r="D212" t="s">
        <v>35</v>
      </c>
      <c r="E212" t="s">
        <v>35</v>
      </c>
      <c r="G212"/>
      <c r="H212" s="11"/>
      <c r="I212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12">
        <v>4</v>
      </c>
      <c r="K21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2">
        <v>1</v>
      </c>
    </row>
    <row r="213" spans="1:16" hidden="1" x14ac:dyDescent="0.3">
      <c r="A213" s="9">
        <v>45689</v>
      </c>
      <c r="B213" s="3" t="s">
        <v>94</v>
      </c>
      <c r="C213" s="10">
        <v>38000</v>
      </c>
      <c r="D213" t="s">
        <v>16</v>
      </c>
      <c r="E213" t="s">
        <v>95</v>
      </c>
      <c r="G213"/>
      <c r="H213" s="11"/>
      <c r="I21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3">
        <v>2</v>
      </c>
      <c r="K21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3">
        <v>1</v>
      </c>
    </row>
    <row r="214" spans="1:16" hidden="1" x14ac:dyDescent="0.3">
      <c r="A214" s="9">
        <v>45689</v>
      </c>
      <c r="B214" s="3" t="s">
        <v>109</v>
      </c>
      <c r="C214" s="10">
        <v>40000</v>
      </c>
      <c r="D214" t="s">
        <v>16</v>
      </c>
      <c r="E214" t="s">
        <v>95</v>
      </c>
      <c r="G214"/>
      <c r="H214" s="11"/>
      <c r="I21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4">
        <v>2</v>
      </c>
      <c r="K21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4">
        <v>1</v>
      </c>
    </row>
    <row r="215" spans="1:16" hidden="1" x14ac:dyDescent="0.3">
      <c r="A215" s="9">
        <v>45689</v>
      </c>
      <c r="B215" s="3" t="s">
        <v>110</v>
      </c>
      <c r="C215" s="10">
        <v>20000</v>
      </c>
      <c r="D215" t="s">
        <v>16</v>
      </c>
      <c r="E215" t="s">
        <v>95</v>
      </c>
      <c r="G215"/>
      <c r="H215" s="11"/>
      <c r="I21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5">
        <v>2</v>
      </c>
      <c r="K21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5">
        <v>1</v>
      </c>
    </row>
    <row r="216" spans="1:16" hidden="1" x14ac:dyDescent="0.3">
      <c r="A216" s="9">
        <v>45689</v>
      </c>
      <c r="B216" s="3" t="s">
        <v>111</v>
      </c>
      <c r="C216" s="10">
        <v>20000</v>
      </c>
      <c r="D216" t="s">
        <v>16</v>
      </c>
      <c r="E216" t="s">
        <v>95</v>
      </c>
      <c r="G216"/>
      <c r="H216" s="11"/>
      <c r="I21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6">
        <v>2</v>
      </c>
      <c r="K21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6">
        <v>1</v>
      </c>
    </row>
    <row r="217" spans="1:16" hidden="1" x14ac:dyDescent="0.3">
      <c r="A217" s="9">
        <v>45689</v>
      </c>
      <c r="B217" s="3" t="s">
        <v>96</v>
      </c>
      <c r="C217" s="10">
        <v>1904</v>
      </c>
      <c r="D217" t="s">
        <v>27</v>
      </c>
      <c r="E217" t="s">
        <v>95</v>
      </c>
      <c r="G217"/>
      <c r="H217" s="11"/>
      <c r="I217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7">
        <v>2</v>
      </c>
      <c r="K21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7">
        <v>1</v>
      </c>
    </row>
    <row r="218" spans="1:16" hidden="1" x14ac:dyDescent="0.3">
      <c r="A218" s="9">
        <v>45689</v>
      </c>
      <c r="B218" s="3" t="s">
        <v>97</v>
      </c>
      <c r="C218" s="10">
        <v>62000</v>
      </c>
      <c r="D218" t="s">
        <v>97</v>
      </c>
      <c r="E218" t="s">
        <v>95</v>
      </c>
      <c r="G218"/>
      <c r="H218" s="11"/>
      <c r="I21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8">
        <v>2</v>
      </c>
      <c r="K21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8">
        <v>1</v>
      </c>
    </row>
    <row r="219" spans="1:16" hidden="1" x14ac:dyDescent="0.3">
      <c r="A219" s="9">
        <v>45689</v>
      </c>
      <c r="B219" s="3" t="s">
        <v>112</v>
      </c>
      <c r="C219" s="10">
        <v>46584</v>
      </c>
      <c r="D219" t="s">
        <v>113</v>
      </c>
      <c r="E219" t="s">
        <v>95</v>
      </c>
      <c r="G219">
        <v>6</v>
      </c>
      <c r="H219" s="11">
        <v>1</v>
      </c>
      <c r="I21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19">
        <v>2</v>
      </c>
      <c r="K21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19">
        <v>1</v>
      </c>
    </row>
    <row r="220" spans="1:16" hidden="1" x14ac:dyDescent="0.3">
      <c r="A220" s="9">
        <v>45689</v>
      </c>
      <c r="B220" s="3" t="s">
        <v>114</v>
      </c>
      <c r="C220" s="10">
        <v>10637</v>
      </c>
      <c r="D220" t="s">
        <v>113</v>
      </c>
      <c r="E220" t="s">
        <v>95</v>
      </c>
      <c r="G220">
        <v>6</v>
      </c>
      <c r="H220" s="11">
        <v>1</v>
      </c>
      <c r="I22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0">
        <v>1</v>
      </c>
      <c r="K22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0">
        <v>1</v>
      </c>
    </row>
    <row r="221" spans="1:16" hidden="1" x14ac:dyDescent="0.3">
      <c r="A221" s="9">
        <v>45689</v>
      </c>
      <c r="B221" s="3" t="s">
        <v>115</v>
      </c>
      <c r="C221" s="10">
        <v>15250</v>
      </c>
      <c r="D221" t="s">
        <v>56</v>
      </c>
      <c r="E221" t="s">
        <v>95</v>
      </c>
      <c r="G221">
        <v>4</v>
      </c>
      <c r="H221" s="11">
        <v>1</v>
      </c>
      <c r="I221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1">
        <v>1</v>
      </c>
      <c r="K22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1">
        <v>1</v>
      </c>
    </row>
    <row r="222" spans="1:16" hidden="1" x14ac:dyDescent="0.3">
      <c r="A222" s="9">
        <v>45689</v>
      </c>
      <c r="B222" s="3" t="s">
        <v>116</v>
      </c>
      <c r="C222" s="10">
        <v>70000</v>
      </c>
      <c r="D222" t="s">
        <v>41</v>
      </c>
      <c r="E222" t="s">
        <v>95</v>
      </c>
      <c r="G222">
        <v>2</v>
      </c>
      <c r="H222" s="11">
        <v>1</v>
      </c>
      <c r="I22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22">
        <v>2</v>
      </c>
      <c r="K22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2">
        <v>1</v>
      </c>
    </row>
    <row r="223" spans="1:16" hidden="1" x14ac:dyDescent="0.3">
      <c r="A223" s="9">
        <v>45717</v>
      </c>
      <c r="B223" s="3" t="s">
        <v>18</v>
      </c>
      <c r="C223" s="10">
        <v>77500</v>
      </c>
      <c r="D223" t="s">
        <v>19</v>
      </c>
      <c r="E223" t="s">
        <v>95</v>
      </c>
      <c r="G223"/>
      <c r="H223" s="11"/>
      <c r="I223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3">
        <v>1</v>
      </c>
      <c r="K22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3">
        <v>1</v>
      </c>
    </row>
    <row r="224" spans="1:16" hidden="1" x14ac:dyDescent="0.3">
      <c r="A224" s="9">
        <v>45717</v>
      </c>
      <c r="B224" s="3" t="s">
        <v>37</v>
      </c>
      <c r="C224" s="10">
        <v>25000</v>
      </c>
      <c r="D224" t="s">
        <v>38</v>
      </c>
      <c r="E224" t="s">
        <v>95</v>
      </c>
      <c r="G224"/>
      <c r="H224" s="11"/>
      <c r="I224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4">
        <v>1</v>
      </c>
      <c r="K22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4">
        <v>1</v>
      </c>
    </row>
    <row r="225" spans="1:12" hidden="1" x14ac:dyDescent="0.3">
      <c r="A225" s="9">
        <v>45717</v>
      </c>
      <c r="B225" s="3" t="s">
        <v>86</v>
      </c>
      <c r="C225" s="10">
        <v>146223</v>
      </c>
      <c r="D225" t="s">
        <v>16</v>
      </c>
      <c r="E225" t="s">
        <v>95</v>
      </c>
      <c r="G225"/>
      <c r="H225" s="11"/>
      <c r="I225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5">
        <v>1</v>
      </c>
      <c r="K22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5">
        <v>1</v>
      </c>
    </row>
    <row r="226" spans="1:12" hidden="1" x14ac:dyDescent="0.3">
      <c r="A226" s="9">
        <v>45717</v>
      </c>
      <c r="B226" s="3" t="s">
        <v>98</v>
      </c>
      <c r="C226" s="10">
        <v>10000</v>
      </c>
      <c r="D226" t="s">
        <v>23</v>
      </c>
      <c r="E226" t="s">
        <v>95</v>
      </c>
      <c r="G226"/>
      <c r="H226" s="11"/>
      <c r="I226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6">
        <v>1</v>
      </c>
      <c r="K22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6">
        <v>1</v>
      </c>
    </row>
    <row r="227" spans="1:12" hidden="1" x14ac:dyDescent="0.3">
      <c r="A227" s="9">
        <v>45717</v>
      </c>
      <c r="B227" s="3" t="s">
        <v>100</v>
      </c>
      <c r="C227" s="10">
        <v>42883</v>
      </c>
      <c r="D227" t="s">
        <v>23</v>
      </c>
      <c r="E227" t="s">
        <v>95</v>
      </c>
      <c r="G227"/>
      <c r="H227" s="11"/>
      <c r="I22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27">
        <v>1</v>
      </c>
      <c r="K22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7">
        <v>1</v>
      </c>
    </row>
    <row r="228" spans="1:12" hidden="1" x14ac:dyDescent="0.3">
      <c r="A228" s="9">
        <v>45717</v>
      </c>
      <c r="B228" s="3" t="s">
        <v>117</v>
      </c>
      <c r="C228" s="10">
        <v>16552</v>
      </c>
      <c r="D228" t="s">
        <v>118</v>
      </c>
      <c r="E228" t="s">
        <v>95</v>
      </c>
      <c r="G228">
        <v>6</v>
      </c>
      <c r="H228" s="11">
        <v>4</v>
      </c>
      <c r="I22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28">
        <v>2</v>
      </c>
      <c r="K22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8">
        <v>1</v>
      </c>
    </row>
    <row r="229" spans="1:12" hidden="1" x14ac:dyDescent="0.3">
      <c r="A229" s="9">
        <v>45717</v>
      </c>
      <c r="B229" s="3" t="s">
        <v>102</v>
      </c>
      <c r="C229" s="10">
        <v>9122</v>
      </c>
      <c r="D229" t="s">
        <v>27</v>
      </c>
      <c r="E229" t="s">
        <v>95</v>
      </c>
      <c r="G229"/>
      <c r="H229" s="11"/>
      <c r="I22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29">
        <v>2</v>
      </c>
      <c r="K22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29">
        <v>1</v>
      </c>
    </row>
    <row r="230" spans="1:12" hidden="1" x14ac:dyDescent="0.3">
      <c r="A230" s="9">
        <v>45717</v>
      </c>
      <c r="B230" s="3" t="s">
        <v>103</v>
      </c>
      <c r="C230" s="10">
        <v>2000</v>
      </c>
      <c r="D230" t="s">
        <v>27</v>
      </c>
      <c r="E230" t="s">
        <v>95</v>
      </c>
      <c r="G230"/>
      <c r="H230" s="11"/>
      <c r="I23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0">
        <v>2</v>
      </c>
      <c r="K23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0">
        <v>1</v>
      </c>
    </row>
    <row r="231" spans="1:12" hidden="1" x14ac:dyDescent="0.3">
      <c r="A231" s="9">
        <v>45717</v>
      </c>
      <c r="B231" s="3" t="s">
        <v>104</v>
      </c>
      <c r="C231" s="10">
        <v>3391</v>
      </c>
      <c r="D231" t="s">
        <v>27</v>
      </c>
      <c r="E231" t="s">
        <v>95</v>
      </c>
      <c r="G231"/>
      <c r="H231" s="11"/>
      <c r="I23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1">
        <v>2</v>
      </c>
      <c r="K23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1">
        <v>1</v>
      </c>
    </row>
    <row r="232" spans="1:12" hidden="1" x14ac:dyDescent="0.3">
      <c r="A232" s="9">
        <v>45717</v>
      </c>
      <c r="B232" s="3" t="s">
        <v>105</v>
      </c>
      <c r="C232" s="10">
        <v>2500</v>
      </c>
      <c r="D232" t="s">
        <v>27</v>
      </c>
      <c r="E232" t="s">
        <v>95</v>
      </c>
      <c r="G232"/>
      <c r="H232" s="11"/>
      <c r="I23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2">
        <v>2</v>
      </c>
      <c r="K23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2">
        <v>1</v>
      </c>
    </row>
    <row r="233" spans="1:12" hidden="1" x14ac:dyDescent="0.3">
      <c r="A233" s="9">
        <v>45717</v>
      </c>
      <c r="B233" s="3" t="s">
        <v>107</v>
      </c>
      <c r="C233" s="10">
        <v>30000</v>
      </c>
      <c r="D233" t="s">
        <v>41</v>
      </c>
      <c r="E233" t="s">
        <v>95</v>
      </c>
      <c r="G233"/>
      <c r="H233" s="11"/>
      <c r="I233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33">
        <v>3</v>
      </c>
      <c r="K23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3">
        <v>1</v>
      </c>
    </row>
    <row r="234" spans="1:12" hidden="1" x14ac:dyDescent="0.3">
      <c r="A234" s="9">
        <v>45717</v>
      </c>
      <c r="B234" s="3" t="s">
        <v>52</v>
      </c>
      <c r="C234" s="10">
        <v>52500</v>
      </c>
      <c r="D234" t="s">
        <v>52</v>
      </c>
      <c r="E234" t="s">
        <v>95</v>
      </c>
      <c r="G234"/>
      <c r="H234" s="11"/>
      <c r="I23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4">
        <v>2</v>
      </c>
      <c r="K23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4">
        <v>1</v>
      </c>
    </row>
    <row r="235" spans="1:12" hidden="1" x14ac:dyDescent="0.3">
      <c r="A235" s="9">
        <v>45717</v>
      </c>
      <c r="B235" s="3" t="s">
        <v>108</v>
      </c>
      <c r="C235" s="10">
        <v>16500</v>
      </c>
      <c r="D235" t="s">
        <v>38</v>
      </c>
      <c r="E235" t="s">
        <v>95</v>
      </c>
      <c r="G235"/>
      <c r="H235" s="11"/>
      <c r="I23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5">
        <v>2</v>
      </c>
      <c r="K23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5">
        <v>1</v>
      </c>
    </row>
    <row r="236" spans="1:12" hidden="1" x14ac:dyDescent="0.3">
      <c r="A236" s="9">
        <v>45717</v>
      </c>
      <c r="B236" s="2" t="s">
        <v>34</v>
      </c>
      <c r="C236" s="10">
        <v>1085000</v>
      </c>
      <c r="D236" t="s">
        <v>35</v>
      </c>
      <c r="E236" t="s">
        <v>35</v>
      </c>
      <c r="G236"/>
      <c r="H236" s="11"/>
      <c r="I236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36">
        <v>4</v>
      </c>
      <c r="K23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6">
        <v>1</v>
      </c>
    </row>
    <row r="237" spans="1:12" hidden="1" x14ac:dyDescent="0.3">
      <c r="A237" s="9">
        <v>45717</v>
      </c>
      <c r="B237" s="2" t="s">
        <v>36</v>
      </c>
      <c r="C237" s="14">
        <v>81685</v>
      </c>
      <c r="D237" t="s">
        <v>35</v>
      </c>
      <c r="E237" t="s">
        <v>35</v>
      </c>
      <c r="G237"/>
      <c r="H237" s="11"/>
      <c r="I237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37">
        <v>4</v>
      </c>
      <c r="K23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7">
        <v>1</v>
      </c>
    </row>
    <row r="238" spans="1:12" hidden="1" x14ac:dyDescent="0.3">
      <c r="A238" s="9">
        <v>45717</v>
      </c>
      <c r="B238" s="3" t="s">
        <v>94</v>
      </c>
      <c r="C238" s="10">
        <v>23000</v>
      </c>
      <c r="D238" t="s">
        <v>16</v>
      </c>
      <c r="E238" t="s">
        <v>95</v>
      </c>
      <c r="G238"/>
      <c r="H238" s="11"/>
      <c r="I23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8">
        <v>2</v>
      </c>
      <c r="K23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8">
        <v>1</v>
      </c>
    </row>
    <row r="239" spans="1:12" hidden="1" x14ac:dyDescent="0.3">
      <c r="A239" s="9">
        <v>45717</v>
      </c>
      <c r="B239" s="3" t="s">
        <v>96</v>
      </c>
      <c r="C239" s="10">
        <v>1904</v>
      </c>
      <c r="D239" t="s">
        <v>27</v>
      </c>
      <c r="E239" t="s">
        <v>95</v>
      </c>
      <c r="G239"/>
      <c r="H239" s="11"/>
      <c r="I23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39">
        <v>2</v>
      </c>
      <c r="K23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39">
        <v>1</v>
      </c>
    </row>
    <row r="240" spans="1:12" hidden="1" x14ac:dyDescent="0.3">
      <c r="A240" s="9">
        <v>45717</v>
      </c>
      <c r="B240" s="3" t="s">
        <v>97</v>
      </c>
      <c r="C240" s="10">
        <v>62000</v>
      </c>
      <c r="D240" t="s">
        <v>97</v>
      </c>
      <c r="E240" t="s">
        <v>95</v>
      </c>
      <c r="G240"/>
      <c r="H240" s="11"/>
      <c r="I24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40">
        <v>2</v>
      </c>
      <c r="K24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0">
        <v>1</v>
      </c>
    </row>
    <row r="241" spans="1:12" hidden="1" x14ac:dyDescent="0.3">
      <c r="A241" s="9">
        <v>45717</v>
      </c>
      <c r="B241" s="3" t="s">
        <v>112</v>
      </c>
      <c r="C241" s="10">
        <v>46584</v>
      </c>
      <c r="D241" t="s">
        <v>118</v>
      </c>
      <c r="E241" t="s">
        <v>95</v>
      </c>
      <c r="G241">
        <v>6</v>
      </c>
      <c r="H241" s="11">
        <v>2</v>
      </c>
      <c r="I24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41">
        <v>2</v>
      </c>
      <c r="K24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1">
        <v>1</v>
      </c>
    </row>
    <row r="242" spans="1:12" hidden="1" x14ac:dyDescent="0.3">
      <c r="A242" s="9">
        <v>45717</v>
      </c>
      <c r="B242" s="3" t="s">
        <v>114</v>
      </c>
      <c r="C242" s="10">
        <v>10637</v>
      </c>
      <c r="D242" t="s">
        <v>113</v>
      </c>
      <c r="E242" t="s">
        <v>95</v>
      </c>
      <c r="G242">
        <v>6</v>
      </c>
      <c r="H242" s="11">
        <v>2</v>
      </c>
      <c r="I242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2">
        <v>1</v>
      </c>
      <c r="K24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2">
        <v>1</v>
      </c>
    </row>
    <row r="243" spans="1:12" hidden="1" x14ac:dyDescent="0.3">
      <c r="A243" s="9">
        <v>45717</v>
      </c>
      <c r="B243" s="3" t="s">
        <v>115</v>
      </c>
      <c r="C243" s="10">
        <v>15250</v>
      </c>
      <c r="D243" t="s">
        <v>56</v>
      </c>
      <c r="E243" t="s">
        <v>95</v>
      </c>
      <c r="G243">
        <v>4</v>
      </c>
      <c r="H243" s="11">
        <v>2</v>
      </c>
      <c r="I243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3">
        <v>1</v>
      </c>
      <c r="K24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3">
        <v>1</v>
      </c>
    </row>
    <row r="244" spans="1:12" hidden="1" x14ac:dyDescent="0.3">
      <c r="A244" s="9">
        <v>45717</v>
      </c>
      <c r="B244" s="3" t="s">
        <v>116</v>
      </c>
      <c r="C244" s="10">
        <v>150000</v>
      </c>
      <c r="D244" t="s">
        <v>41</v>
      </c>
      <c r="E244" t="s">
        <v>95</v>
      </c>
      <c r="G244">
        <v>2</v>
      </c>
      <c r="H244" s="11">
        <v>1</v>
      </c>
      <c r="I24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44">
        <v>2</v>
      </c>
      <c r="K24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4">
        <v>1</v>
      </c>
    </row>
    <row r="245" spans="1:12" hidden="1" x14ac:dyDescent="0.3">
      <c r="A245" s="9">
        <v>45717</v>
      </c>
      <c r="B245" s="3" t="s">
        <v>119</v>
      </c>
      <c r="C245" s="10">
        <v>68000</v>
      </c>
      <c r="D245" t="s">
        <v>41</v>
      </c>
      <c r="E245" t="s">
        <v>95</v>
      </c>
      <c r="G245"/>
      <c r="H245" s="11"/>
      <c r="I245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45">
        <v>3</v>
      </c>
      <c r="K24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5">
        <v>1</v>
      </c>
    </row>
    <row r="246" spans="1:12" hidden="1" x14ac:dyDescent="0.3">
      <c r="A246" s="9">
        <v>45748</v>
      </c>
      <c r="B246" s="3" t="s">
        <v>18</v>
      </c>
      <c r="C246" s="10">
        <v>78000</v>
      </c>
      <c r="D246" t="s">
        <v>19</v>
      </c>
      <c r="E246" t="s">
        <v>95</v>
      </c>
      <c r="G246"/>
      <c r="H246" s="11"/>
      <c r="I246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6">
        <v>1</v>
      </c>
      <c r="K24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6">
        <v>1</v>
      </c>
    </row>
    <row r="247" spans="1:12" hidden="1" x14ac:dyDescent="0.3">
      <c r="A247" s="9">
        <v>45748</v>
      </c>
      <c r="B247" s="3" t="s">
        <v>37</v>
      </c>
      <c r="C247" s="10">
        <v>25000</v>
      </c>
      <c r="D247" t="s">
        <v>38</v>
      </c>
      <c r="E247" t="s">
        <v>95</v>
      </c>
      <c r="G247"/>
      <c r="H247" s="11"/>
      <c r="I24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7">
        <v>1</v>
      </c>
      <c r="K24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7">
        <v>1</v>
      </c>
    </row>
    <row r="248" spans="1:12" hidden="1" x14ac:dyDescent="0.3">
      <c r="A248" s="9">
        <v>45748</v>
      </c>
      <c r="B248" s="3" t="s">
        <v>86</v>
      </c>
      <c r="C248" s="10">
        <v>148416</v>
      </c>
      <c r="D248" t="s">
        <v>16</v>
      </c>
      <c r="E248" t="s">
        <v>95</v>
      </c>
      <c r="G248"/>
      <c r="H248" s="11"/>
      <c r="I248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8">
        <v>1</v>
      </c>
      <c r="K24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8">
        <v>1</v>
      </c>
    </row>
    <row r="249" spans="1:12" hidden="1" x14ac:dyDescent="0.3">
      <c r="A249" s="9">
        <v>45748</v>
      </c>
      <c r="B249" s="3" t="s">
        <v>98</v>
      </c>
      <c r="C249" s="10">
        <v>10000</v>
      </c>
      <c r="D249" t="s">
        <v>23</v>
      </c>
      <c r="E249" t="s">
        <v>95</v>
      </c>
      <c r="G249"/>
      <c r="H249" s="11"/>
      <c r="I249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49">
        <v>1</v>
      </c>
      <c r="K24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49">
        <v>1</v>
      </c>
    </row>
    <row r="250" spans="1:12" hidden="1" x14ac:dyDescent="0.3">
      <c r="A250" s="9">
        <v>45748</v>
      </c>
      <c r="B250" s="3" t="s">
        <v>100</v>
      </c>
      <c r="C250" s="10">
        <v>38890</v>
      </c>
      <c r="D250" t="s">
        <v>23</v>
      </c>
      <c r="E250" t="s">
        <v>95</v>
      </c>
      <c r="G250"/>
      <c r="H250" s="11"/>
      <c r="I25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50">
        <v>1</v>
      </c>
      <c r="K25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0">
        <v>1</v>
      </c>
    </row>
    <row r="251" spans="1:12" hidden="1" x14ac:dyDescent="0.3">
      <c r="A251" s="9">
        <v>45748</v>
      </c>
      <c r="B251" s="3" t="s">
        <v>120</v>
      </c>
      <c r="C251" s="10">
        <v>16552</v>
      </c>
      <c r="D251" t="s">
        <v>118</v>
      </c>
      <c r="E251" t="s">
        <v>95</v>
      </c>
      <c r="G251">
        <v>6</v>
      </c>
      <c r="H251" s="11">
        <v>6</v>
      </c>
      <c r="I25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1">
        <v>2</v>
      </c>
      <c r="K25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1">
        <v>1</v>
      </c>
    </row>
    <row r="252" spans="1:12" hidden="1" x14ac:dyDescent="0.3">
      <c r="A252" s="9">
        <v>45748</v>
      </c>
      <c r="B252" s="3" t="s">
        <v>102</v>
      </c>
      <c r="C252" s="10">
        <v>9122</v>
      </c>
      <c r="D252" t="s">
        <v>27</v>
      </c>
      <c r="E252" t="s">
        <v>95</v>
      </c>
      <c r="G252"/>
      <c r="H252" s="11"/>
      <c r="I25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2">
        <v>2</v>
      </c>
      <c r="K25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2">
        <v>1</v>
      </c>
    </row>
    <row r="253" spans="1:12" hidden="1" x14ac:dyDescent="0.3">
      <c r="A253" s="9">
        <v>45748</v>
      </c>
      <c r="B253" s="3" t="s">
        <v>103</v>
      </c>
      <c r="C253" s="10">
        <v>2000</v>
      </c>
      <c r="D253" t="s">
        <v>27</v>
      </c>
      <c r="E253" t="s">
        <v>95</v>
      </c>
      <c r="G253"/>
      <c r="H253" s="11"/>
      <c r="I25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3">
        <v>2</v>
      </c>
      <c r="K25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3">
        <v>1</v>
      </c>
    </row>
    <row r="254" spans="1:12" hidden="1" x14ac:dyDescent="0.3">
      <c r="A254" s="9">
        <v>45748</v>
      </c>
      <c r="B254" s="3" t="s">
        <v>104</v>
      </c>
      <c r="C254" s="10">
        <v>3391</v>
      </c>
      <c r="D254" t="s">
        <v>27</v>
      </c>
      <c r="E254" t="s">
        <v>95</v>
      </c>
      <c r="G254"/>
      <c r="H254" s="11"/>
      <c r="I25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4">
        <v>2</v>
      </c>
      <c r="K25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4">
        <v>1</v>
      </c>
    </row>
    <row r="255" spans="1:12" hidden="1" x14ac:dyDescent="0.3">
      <c r="A255" s="9">
        <v>45748</v>
      </c>
      <c r="B255" s="3" t="s">
        <v>52</v>
      </c>
      <c r="C255" s="10">
        <v>52500</v>
      </c>
      <c r="D255" t="s">
        <v>52</v>
      </c>
      <c r="E255" t="s">
        <v>95</v>
      </c>
      <c r="G255"/>
      <c r="H255" s="11"/>
      <c r="I25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5">
        <v>2</v>
      </c>
      <c r="K25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5">
        <v>1</v>
      </c>
    </row>
    <row r="256" spans="1:12" hidden="1" x14ac:dyDescent="0.3">
      <c r="A256" s="9">
        <v>45748</v>
      </c>
      <c r="B256" s="3" t="s">
        <v>108</v>
      </c>
      <c r="C256" s="10">
        <v>36000</v>
      </c>
      <c r="D256" t="s">
        <v>38</v>
      </c>
      <c r="E256" t="s">
        <v>95</v>
      </c>
      <c r="G256"/>
      <c r="H256" s="11"/>
      <c r="I25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6">
        <v>2</v>
      </c>
      <c r="K25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6">
        <v>1</v>
      </c>
    </row>
    <row r="257" spans="1:12" hidden="1" x14ac:dyDescent="0.3">
      <c r="A257" s="9">
        <v>45748</v>
      </c>
      <c r="B257" s="15" t="s">
        <v>34</v>
      </c>
      <c r="C257" s="10">
        <v>1151500</v>
      </c>
      <c r="D257" t="s">
        <v>35</v>
      </c>
      <c r="E257" t="s">
        <v>35</v>
      </c>
      <c r="G257"/>
      <c r="H257" s="11"/>
      <c r="I257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57">
        <v>4</v>
      </c>
      <c r="K257" s="1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257">
        <v>4</v>
      </c>
    </row>
    <row r="258" spans="1:12" hidden="1" x14ac:dyDescent="0.3">
      <c r="A258" s="9">
        <v>45748</v>
      </c>
      <c r="B258" s="15" t="s">
        <v>36</v>
      </c>
      <c r="C258" s="14">
        <v>81685</v>
      </c>
      <c r="D258" t="s">
        <v>35</v>
      </c>
      <c r="E258" t="s">
        <v>35</v>
      </c>
      <c r="G258"/>
      <c r="H258" s="11"/>
      <c r="I258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58">
        <v>4</v>
      </c>
      <c r="K258" s="1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258">
        <v>4</v>
      </c>
    </row>
    <row r="259" spans="1:12" hidden="1" x14ac:dyDescent="0.3">
      <c r="A259" s="9">
        <v>45748</v>
      </c>
      <c r="B259" s="3" t="s">
        <v>94</v>
      </c>
      <c r="C259" s="10">
        <v>23000</v>
      </c>
      <c r="D259" t="s">
        <v>16</v>
      </c>
      <c r="E259" t="s">
        <v>95</v>
      </c>
      <c r="G259"/>
      <c r="H259" s="11"/>
      <c r="I25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59">
        <v>2</v>
      </c>
      <c r="K25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59">
        <v>1</v>
      </c>
    </row>
    <row r="260" spans="1:12" hidden="1" x14ac:dyDescent="0.3">
      <c r="A260" s="9">
        <v>45748</v>
      </c>
      <c r="B260" s="3" t="s">
        <v>96</v>
      </c>
      <c r="C260" s="10">
        <v>1904</v>
      </c>
      <c r="D260" t="s">
        <v>27</v>
      </c>
      <c r="E260" t="s">
        <v>95</v>
      </c>
      <c r="G260"/>
      <c r="H260" s="11"/>
      <c r="I26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60">
        <v>2</v>
      </c>
      <c r="K26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0">
        <v>1</v>
      </c>
    </row>
    <row r="261" spans="1:12" hidden="1" x14ac:dyDescent="0.3">
      <c r="A261" s="9">
        <v>45748</v>
      </c>
      <c r="B261" s="3" t="s">
        <v>97</v>
      </c>
      <c r="C261" s="10">
        <v>62000</v>
      </c>
      <c r="D261" t="s">
        <v>97</v>
      </c>
      <c r="E261" t="s">
        <v>95</v>
      </c>
      <c r="G261"/>
      <c r="H261" s="11"/>
      <c r="I26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61">
        <v>2</v>
      </c>
      <c r="K26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1">
        <v>1</v>
      </c>
    </row>
    <row r="262" spans="1:12" hidden="1" x14ac:dyDescent="0.3">
      <c r="A262" s="9">
        <v>45748</v>
      </c>
      <c r="B262" s="3" t="s">
        <v>121</v>
      </c>
      <c r="C262" s="10">
        <v>12553</v>
      </c>
      <c r="D262" t="s">
        <v>118</v>
      </c>
      <c r="E262" t="s">
        <v>95</v>
      </c>
      <c r="G262">
        <v>3</v>
      </c>
      <c r="H262" s="11">
        <v>1</v>
      </c>
      <c r="I26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62">
        <v>2</v>
      </c>
      <c r="K26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2">
        <v>1</v>
      </c>
    </row>
    <row r="263" spans="1:12" hidden="1" x14ac:dyDescent="0.3">
      <c r="A263" s="9">
        <v>45748</v>
      </c>
      <c r="B263" s="3" t="s">
        <v>112</v>
      </c>
      <c r="C263" s="10">
        <v>46584</v>
      </c>
      <c r="D263" t="s">
        <v>118</v>
      </c>
      <c r="E263" t="s">
        <v>95</v>
      </c>
      <c r="G263">
        <v>6</v>
      </c>
      <c r="H263" s="11">
        <v>3</v>
      </c>
      <c r="I26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63">
        <v>2</v>
      </c>
      <c r="K26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3">
        <v>1</v>
      </c>
    </row>
    <row r="264" spans="1:12" hidden="1" x14ac:dyDescent="0.3">
      <c r="A264" s="9">
        <v>45748</v>
      </c>
      <c r="B264" s="3" t="s">
        <v>114</v>
      </c>
      <c r="C264" s="10">
        <v>10637</v>
      </c>
      <c r="D264" t="s">
        <v>113</v>
      </c>
      <c r="E264" t="s">
        <v>95</v>
      </c>
      <c r="G264">
        <v>6</v>
      </c>
      <c r="H264" s="11">
        <v>3</v>
      </c>
      <c r="I264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64">
        <v>1</v>
      </c>
      <c r="K26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4">
        <v>1</v>
      </c>
    </row>
    <row r="265" spans="1:12" hidden="1" x14ac:dyDescent="0.3">
      <c r="A265" s="9">
        <v>45748</v>
      </c>
      <c r="B265" s="3" t="s">
        <v>115</v>
      </c>
      <c r="C265" s="10">
        <v>15250</v>
      </c>
      <c r="D265" t="s">
        <v>56</v>
      </c>
      <c r="E265" t="s">
        <v>95</v>
      </c>
      <c r="G265">
        <v>4</v>
      </c>
      <c r="H265" s="11">
        <v>3</v>
      </c>
      <c r="I265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65">
        <v>1</v>
      </c>
      <c r="K26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5">
        <v>1</v>
      </c>
    </row>
    <row r="266" spans="1:12" hidden="1" x14ac:dyDescent="0.3">
      <c r="A266" s="9">
        <v>45748</v>
      </c>
      <c r="B266" s="3" t="s">
        <v>122</v>
      </c>
      <c r="C266" s="10">
        <v>43000</v>
      </c>
      <c r="D266" t="s">
        <v>56</v>
      </c>
      <c r="E266" t="s">
        <v>95</v>
      </c>
      <c r="G266">
        <v>12</v>
      </c>
      <c r="H266" s="11">
        <v>1</v>
      </c>
      <c r="I26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66">
        <v>2</v>
      </c>
      <c r="K26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6">
        <v>1</v>
      </c>
    </row>
    <row r="267" spans="1:12" hidden="1" x14ac:dyDescent="0.3">
      <c r="A267" s="9">
        <v>45748</v>
      </c>
      <c r="B267" s="3" t="s">
        <v>123</v>
      </c>
      <c r="C267" s="10">
        <v>16500</v>
      </c>
      <c r="D267" t="s">
        <v>56</v>
      </c>
      <c r="E267" t="s">
        <v>95</v>
      </c>
      <c r="G267"/>
      <c r="H267" s="11"/>
      <c r="I267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67">
        <v>3</v>
      </c>
      <c r="K26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7">
        <v>1</v>
      </c>
    </row>
    <row r="268" spans="1:12" hidden="1" x14ac:dyDescent="0.3">
      <c r="A268" s="9">
        <v>45748</v>
      </c>
      <c r="B268" s="3" t="s">
        <v>124</v>
      </c>
      <c r="C268" s="10">
        <v>25000</v>
      </c>
      <c r="D268" t="s">
        <v>56</v>
      </c>
      <c r="E268" t="s">
        <v>95</v>
      </c>
      <c r="G268"/>
      <c r="H268" s="11"/>
      <c r="I268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68">
        <v>3</v>
      </c>
      <c r="K26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8">
        <v>1</v>
      </c>
    </row>
    <row r="269" spans="1:12" hidden="1" x14ac:dyDescent="0.3">
      <c r="A269" s="9">
        <v>45748</v>
      </c>
      <c r="B269" s="3" t="s">
        <v>125</v>
      </c>
      <c r="C269" s="10">
        <v>23000</v>
      </c>
      <c r="D269" t="s">
        <v>126</v>
      </c>
      <c r="E269" t="s">
        <v>95</v>
      </c>
      <c r="G269"/>
      <c r="H269" s="11"/>
      <c r="I269" s="1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269">
        <v>3</v>
      </c>
      <c r="K26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69">
        <v>1</v>
      </c>
    </row>
    <row r="270" spans="1:12" hidden="1" x14ac:dyDescent="0.3">
      <c r="A270" s="9">
        <v>45748</v>
      </c>
      <c r="B270" s="3" t="s">
        <v>127</v>
      </c>
      <c r="C270" s="10">
        <v>8500</v>
      </c>
      <c r="D270" t="s">
        <v>16</v>
      </c>
      <c r="E270" t="s">
        <v>95</v>
      </c>
      <c r="G270"/>
      <c r="H270" s="11"/>
      <c r="I27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0">
        <v>1</v>
      </c>
      <c r="K27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70">
        <v>1</v>
      </c>
    </row>
    <row r="271" spans="1:12" hidden="1" x14ac:dyDescent="0.3">
      <c r="A271" s="9">
        <v>45748</v>
      </c>
      <c r="B271" s="3" t="s">
        <v>109</v>
      </c>
      <c r="C271" s="10">
        <v>20000</v>
      </c>
      <c r="D271" t="s">
        <v>16</v>
      </c>
      <c r="E271" t="s">
        <v>95</v>
      </c>
      <c r="G271"/>
      <c r="H271" s="11"/>
      <c r="I271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1">
        <v>1</v>
      </c>
      <c r="K27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71">
        <v>1</v>
      </c>
    </row>
    <row r="272" spans="1:12" hidden="1" x14ac:dyDescent="0.3">
      <c r="A272" s="9">
        <v>45748</v>
      </c>
      <c r="B272" s="3" t="s">
        <v>128</v>
      </c>
      <c r="C272" s="10">
        <v>10000</v>
      </c>
      <c r="D272" t="s">
        <v>16</v>
      </c>
      <c r="E272" t="s">
        <v>95</v>
      </c>
      <c r="G272"/>
      <c r="H272" s="11"/>
      <c r="I272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2">
        <v>1</v>
      </c>
      <c r="K27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72">
        <v>1</v>
      </c>
    </row>
    <row r="273" spans="1:12" hidden="1" x14ac:dyDescent="0.3">
      <c r="A273" s="9">
        <v>45778</v>
      </c>
      <c r="B273" s="3" t="s">
        <v>18</v>
      </c>
      <c r="C273" s="10">
        <v>79000</v>
      </c>
      <c r="D273" t="s">
        <v>19</v>
      </c>
      <c r="E273" t="s">
        <v>95</v>
      </c>
      <c r="G273"/>
      <c r="H273" s="11"/>
      <c r="I273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3">
        <v>1</v>
      </c>
      <c r="K273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3">
        <v>3</v>
      </c>
    </row>
    <row r="274" spans="1:12" hidden="1" x14ac:dyDescent="0.3">
      <c r="A274" s="9">
        <v>45778</v>
      </c>
      <c r="B274" s="3" t="s">
        <v>37</v>
      </c>
      <c r="C274" s="10">
        <v>25000</v>
      </c>
      <c r="D274" t="s">
        <v>38</v>
      </c>
      <c r="E274" t="s">
        <v>95</v>
      </c>
      <c r="G274"/>
      <c r="H274" s="11"/>
      <c r="I274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4">
        <v>1</v>
      </c>
      <c r="K274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4">
        <v>3</v>
      </c>
    </row>
    <row r="275" spans="1:12" hidden="1" x14ac:dyDescent="0.3">
      <c r="A275" s="9">
        <v>45778</v>
      </c>
      <c r="B275" s="3" t="s">
        <v>86</v>
      </c>
      <c r="C275" s="10">
        <v>148416</v>
      </c>
      <c r="D275" t="s">
        <v>16</v>
      </c>
      <c r="E275" t="s">
        <v>95</v>
      </c>
      <c r="G275"/>
      <c r="H275" s="11"/>
      <c r="I275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5">
        <v>1</v>
      </c>
      <c r="K275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5">
        <v>3</v>
      </c>
    </row>
    <row r="276" spans="1:12" hidden="1" x14ac:dyDescent="0.3">
      <c r="A276" s="9">
        <v>45778</v>
      </c>
      <c r="B276" s="3" t="s">
        <v>98</v>
      </c>
      <c r="C276" s="10">
        <v>10000</v>
      </c>
      <c r="D276" t="s">
        <v>23</v>
      </c>
      <c r="E276" t="s">
        <v>95</v>
      </c>
      <c r="G276"/>
      <c r="H276" s="11"/>
      <c r="I276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6">
        <v>1</v>
      </c>
      <c r="K276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6">
        <v>3</v>
      </c>
    </row>
    <row r="277" spans="1:12" hidden="1" x14ac:dyDescent="0.3">
      <c r="A277" s="9">
        <v>45778</v>
      </c>
      <c r="B277" s="3" t="s">
        <v>100</v>
      </c>
      <c r="C277" s="10">
        <v>15259</v>
      </c>
      <c r="D277" t="s">
        <v>23</v>
      </c>
      <c r="E277" t="s">
        <v>95</v>
      </c>
      <c r="G277"/>
      <c r="H277" s="11"/>
      <c r="I27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77">
        <v>1</v>
      </c>
      <c r="K277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7">
        <v>3</v>
      </c>
    </row>
    <row r="278" spans="1:12" hidden="1" x14ac:dyDescent="0.3">
      <c r="A278" s="9">
        <v>45778</v>
      </c>
      <c r="B278" s="3" t="s">
        <v>102</v>
      </c>
      <c r="C278" s="10">
        <v>9122</v>
      </c>
      <c r="D278" t="s">
        <v>27</v>
      </c>
      <c r="E278" t="s">
        <v>95</v>
      </c>
      <c r="G278"/>
      <c r="H278" s="11"/>
      <c r="I27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78">
        <v>2</v>
      </c>
      <c r="K278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8">
        <v>3</v>
      </c>
    </row>
    <row r="279" spans="1:12" hidden="1" x14ac:dyDescent="0.3">
      <c r="A279" s="9">
        <v>45778</v>
      </c>
      <c r="B279" s="3" t="s">
        <v>103</v>
      </c>
      <c r="C279" s="10">
        <v>2000</v>
      </c>
      <c r="D279" t="s">
        <v>27</v>
      </c>
      <c r="E279" t="s">
        <v>95</v>
      </c>
      <c r="G279"/>
      <c r="H279" s="11"/>
      <c r="I27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79">
        <v>2</v>
      </c>
      <c r="K279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79">
        <v>3</v>
      </c>
    </row>
    <row r="280" spans="1:12" hidden="1" x14ac:dyDescent="0.3">
      <c r="A280" s="9">
        <v>45778</v>
      </c>
      <c r="B280" s="3" t="s">
        <v>104</v>
      </c>
      <c r="C280" s="10">
        <v>3391</v>
      </c>
      <c r="D280" t="s">
        <v>27</v>
      </c>
      <c r="E280" t="s">
        <v>95</v>
      </c>
      <c r="G280"/>
      <c r="H280" s="11"/>
      <c r="I28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0">
        <v>2</v>
      </c>
      <c r="K280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80">
        <v>3</v>
      </c>
    </row>
    <row r="281" spans="1:12" hidden="1" x14ac:dyDescent="0.3">
      <c r="A281" s="9">
        <v>45778</v>
      </c>
      <c r="B281" s="3" t="s">
        <v>129</v>
      </c>
      <c r="C281" s="10">
        <v>52500</v>
      </c>
      <c r="D281" t="s">
        <v>52</v>
      </c>
      <c r="E281" t="s">
        <v>95</v>
      </c>
      <c r="G281"/>
      <c r="H281" s="11"/>
      <c r="I28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1">
        <v>2</v>
      </c>
      <c r="K28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81">
        <v>1</v>
      </c>
    </row>
    <row r="282" spans="1:12" hidden="1" x14ac:dyDescent="0.3">
      <c r="A282" s="9">
        <v>45778</v>
      </c>
      <c r="B282" s="3" t="s">
        <v>130</v>
      </c>
      <c r="C282" s="10">
        <v>18000</v>
      </c>
      <c r="D282" t="s">
        <v>38</v>
      </c>
      <c r="E282" t="s">
        <v>95</v>
      </c>
      <c r="G282"/>
      <c r="H282" s="11"/>
      <c r="I28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2">
        <v>2</v>
      </c>
      <c r="K28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82">
        <v>1</v>
      </c>
    </row>
    <row r="283" spans="1:12" hidden="1" x14ac:dyDescent="0.3">
      <c r="A283" s="9">
        <v>45778</v>
      </c>
      <c r="B283" s="15" t="s">
        <v>34</v>
      </c>
      <c r="C283" s="10">
        <v>1134750</v>
      </c>
      <c r="D283" t="s">
        <v>35</v>
      </c>
      <c r="E283" t="s">
        <v>35</v>
      </c>
      <c r="G283"/>
      <c r="H283" s="11"/>
      <c r="I283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83">
        <v>4</v>
      </c>
      <c r="K283" s="1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283">
        <v>4</v>
      </c>
    </row>
    <row r="284" spans="1:12" hidden="1" x14ac:dyDescent="0.3">
      <c r="A284" s="9">
        <v>45778</v>
      </c>
      <c r="B284" s="15" t="s">
        <v>36</v>
      </c>
      <c r="C284" s="20">
        <v>0</v>
      </c>
      <c r="D284" t="s">
        <v>35</v>
      </c>
      <c r="E284" t="s">
        <v>35</v>
      </c>
      <c r="G284"/>
      <c r="H284" s="11"/>
      <c r="I284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284">
        <v>4</v>
      </c>
      <c r="K284" s="1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284">
        <v>4</v>
      </c>
    </row>
    <row r="285" spans="1:12" hidden="1" x14ac:dyDescent="0.3">
      <c r="A285" s="9">
        <v>45778</v>
      </c>
      <c r="B285" s="3" t="s">
        <v>94</v>
      </c>
      <c r="C285" s="10">
        <v>23000</v>
      </c>
      <c r="D285" t="s">
        <v>16</v>
      </c>
      <c r="E285" t="s">
        <v>95</v>
      </c>
      <c r="G285"/>
      <c r="H285" s="11"/>
      <c r="I28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5">
        <v>2</v>
      </c>
      <c r="K28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85">
        <v>1</v>
      </c>
    </row>
    <row r="286" spans="1:12" hidden="1" x14ac:dyDescent="0.3">
      <c r="A286" s="9">
        <v>45778</v>
      </c>
      <c r="B286" s="3" t="s">
        <v>96</v>
      </c>
      <c r="C286" s="10">
        <v>1904</v>
      </c>
      <c r="D286" t="s">
        <v>27</v>
      </c>
      <c r="E286" t="s">
        <v>95</v>
      </c>
      <c r="G286"/>
      <c r="H286" s="11"/>
      <c r="I28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6">
        <v>2</v>
      </c>
      <c r="K286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86">
        <v>3</v>
      </c>
    </row>
    <row r="287" spans="1:12" hidden="1" x14ac:dyDescent="0.3">
      <c r="A287" s="9">
        <v>45778</v>
      </c>
      <c r="B287" s="3" t="s">
        <v>97</v>
      </c>
      <c r="C287" s="10">
        <v>62000</v>
      </c>
      <c r="D287" t="s">
        <v>97</v>
      </c>
      <c r="E287" t="s">
        <v>95</v>
      </c>
      <c r="G287"/>
      <c r="H287" s="11"/>
      <c r="I287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7">
        <v>2</v>
      </c>
      <c r="K287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87">
        <v>3</v>
      </c>
    </row>
    <row r="288" spans="1:12" hidden="1" x14ac:dyDescent="0.3">
      <c r="A288" s="9">
        <v>45778</v>
      </c>
      <c r="B288" s="3" t="s">
        <v>121</v>
      </c>
      <c r="C288" s="10">
        <v>12553</v>
      </c>
      <c r="D288" t="s">
        <v>118</v>
      </c>
      <c r="E288" t="s">
        <v>95</v>
      </c>
      <c r="G288">
        <v>3</v>
      </c>
      <c r="H288" s="11">
        <v>1</v>
      </c>
      <c r="I28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8">
        <v>2</v>
      </c>
      <c r="K288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88">
        <v>3</v>
      </c>
    </row>
    <row r="289" spans="1:12" hidden="1" x14ac:dyDescent="0.3">
      <c r="A289" s="9">
        <v>45778</v>
      </c>
      <c r="B289" s="3" t="s">
        <v>112</v>
      </c>
      <c r="C289" s="10">
        <v>46584</v>
      </c>
      <c r="D289" t="s">
        <v>118</v>
      </c>
      <c r="E289" t="s">
        <v>95</v>
      </c>
      <c r="G289">
        <v>6</v>
      </c>
      <c r="H289" s="11">
        <v>4</v>
      </c>
      <c r="I28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89">
        <v>2</v>
      </c>
      <c r="K289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89">
        <v>3</v>
      </c>
    </row>
    <row r="290" spans="1:12" hidden="1" x14ac:dyDescent="0.3">
      <c r="A290" s="9">
        <v>45778</v>
      </c>
      <c r="B290" s="3" t="s">
        <v>114</v>
      </c>
      <c r="C290" s="10">
        <v>10637</v>
      </c>
      <c r="D290" t="s">
        <v>113</v>
      </c>
      <c r="E290" t="s">
        <v>95</v>
      </c>
      <c r="G290">
        <v>6</v>
      </c>
      <c r="H290" s="11">
        <v>4</v>
      </c>
      <c r="I29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0">
        <v>1</v>
      </c>
      <c r="K290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90">
        <v>3</v>
      </c>
    </row>
    <row r="291" spans="1:12" hidden="1" x14ac:dyDescent="0.3">
      <c r="A291" s="9">
        <v>45778</v>
      </c>
      <c r="B291" s="3" t="s">
        <v>115</v>
      </c>
      <c r="C291" s="10">
        <v>15250</v>
      </c>
      <c r="D291" t="s">
        <v>56</v>
      </c>
      <c r="E291" t="s">
        <v>95</v>
      </c>
      <c r="G291">
        <v>4</v>
      </c>
      <c r="H291" s="11">
        <v>4</v>
      </c>
      <c r="I291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1">
        <v>1</v>
      </c>
      <c r="K291" s="1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291">
        <v>3</v>
      </c>
    </row>
    <row r="292" spans="1:12" hidden="1" x14ac:dyDescent="0.3">
      <c r="A292" s="9">
        <v>45778</v>
      </c>
      <c r="B292" s="3" t="s">
        <v>122</v>
      </c>
      <c r="C292" s="10">
        <v>43000</v>
      </c>
      <c r="D292" t="s">
        <v>118</v>
      </c>
      <c r="E292" t="s">
        <v>95</v>
      </c>
      <c r="G292">
        <v>12</v>
      </c>
      <c r="H292" s="11">
        <v>2</v>
      </c>
      <c r="I29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92">
        <v>2</v>
      </c>
      <c r="K29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2">
        <v>1</v>
      </c>
    </row>
    <row r="293" spans="1:12" hidden="1" x14ac:dyDescent="0.3">
      <c r="A293" s="9">
        <v>45778</v>
      </c>
      <c r="B293" s="3" t="s">
        <v>128</v>
      </c>
      <c r="C293" s="10">
        <v>40000</v>
      </c>
      <c r="D293" t="s">
        <v>16</v>
      </c>
      <c r="E293" t="s">
        <v>95</v>
      </c>
      <c r="G293"/>
      <c r="H293" s="11"/>
      <c r="I293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3">
        <v>1</v>
      </c>
      <c r="K29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3">
        <v>1</v>
      </c>
    </row>
    <row r="294" spans="1:12" hidden="1" x14ac:dyDescent="0.3">
      <c r="A294" s="9">
        <v>45778</v>
      </c>
      <c r="B294" s="3" t="s">
        <v>131</v>
      </c>
      <c r="C294" s="10">
        <v>50000</v>
      </c>
      <c r="D294" t="s">
        <v>16</v>
      </c>
      <c r="E294" t="s">
        <v>95</v>
      </c>
      <c r="G294">
        <v>12</v>
      </c>
      <c r="H294" s="11">
        <v>1</v>
      </c>
      <c r="I29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294">
        <v>2</v>
      </c>
      <c r="K29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4">
        <v>1</v>
      </c>
    </row>
    <row r="295" spans="1:12" hidden="1" x14ac:dyDescent="0.3">
      <c r="A295" s="9">
        <v>45809</v>
      </c>
      <c r="B295" s="3" t="s">
        <v>18</v>
      </c>
      <c r="C295" s="10">
        <v>79500</v>
      </c>
      <c r="D295" t="s">
        <v>19</v>
      </c>
      <c r="E295" t="s">
        <v>95</v>
      </c>
      <c r="F295" t="s">
        <v>132</v>
      </c>
      <c r="G295"/>
      <c r="H295" s="11"/>
      <c r="I295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5">
        <v>1</v>
      </c>
      <c r="K29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5">
        <v>1</v>
      </c>
    </row>
    <row r="296" spans="1:12" hidden="1" x14ac:dyDescent="0.3">
      <c r="A296" s="9">
        <v>45809</v>
      </c>
      <c r="B296" s="3" t="s">
        <v>133</v>
      </c>
      <c r="C296" s="10">
        <v>146000</v>
      </c>
      <c r="D296" t="s">
        <v>19</v>
      </c>
      <c r="E296" t="s">
        <v>95</v>
      </c>
      <c r="F296" t="s">
        <v>132</v>
      </c>
      <c r="G296"/>
      <c r="H296" s="11"/>
      <c r="I296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6">
        <v>1</v>
      </c>
      <c r="K29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6">
        <v>1</v>
      </c>
    </row>
    <row r="297" spans="1:12" hidden="1" x14ac:dyDescent="0.3">
      <c r="A297" s="9">
        <v>45809</v>
      </c>
      <c r="B297" s="3" t="s">
        <v>37</v>
      </c>
      <c r="C297" s="10">
        <v>25000</v>
      </c>
      <c r="D297" t="s">
        <v>38</v>
      </c>
      <c r="E297" t="s">
        <v>95</v>
      </c>
      <c r="F297" t="s">
        <v>132</v>
      </c>
      <c r="G297"/>
      <c r="H297" s="11"/>
      <c r="I29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7">
        <v>1</v>
      </c>
      <c r="K29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7">
        <v>1</v>
      </c>
    </row>
    <row r="298" spans="1:12" hidden="1" x14ac:dyDescent="0.3">
      <c r="A298" s="9">
        <v>45809</v>
      </c>
      <c r="B298" s="3" t="s">
        <v>86</v>
      </c>
      <c r="C298" s="10">
        <v>148416</v>
      </c>
      <c r="D298" t="s">
        <v>16</v>
      </c>
      <c r="E298" t="s">
        <v>95</v>
      </c>
      <c r="F298" t="s">
        <v>132</v>
      </c>
      <c r="G298"/>
      <c r="H298" s="11"/>
      <c r="I298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8">
        <v>1</v>
      </c>
      <c r="K29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8">
        <v>1</v>
      </c>
    </row>
    <row r="299" spans="1:12" hidden="1" x14ac:dyDescent="0.3">
      <c r="A299" s="9">
        <v>45809</v>
      </c>
      <c r="B299" s="3" t="s">
        <v>98</v>
      </c>
      <c r="C299" s="10">
        <v>10000</v>
      </c>
      <c r="D299" t="s">
        <v>23</v>
      </c>
      <c r="E299" t="s">
        <v>95</v>
      </c>
      <c r="F299" t="s">
        <v>132</v>
      </c>
      <c r="G299"/>
      <c r="H299" s="11"/>
      <c r="I299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299">
        <v>1</v>
      </c>
      <c r="K29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299">
        <v>1</v>
      </c>
    </row>
    <row r="300" spans="1:12" hidden="1" x14ac:dyDescent="0.3">
      <c r="A300" s="9">
        <v>45809</v>
      </c>
      <c r="B300" s="3" t="s">
        <v>100</v>
      </c>
      <c r="C300" s="10">
        <v>15259</v>
      </c>
      <c r="D300" t="s">
        <v>23</v>
      </c>
      <c r="E300" t="s">
        <v>95</v>
      </c>
      <c r="F300" t="s">
        <v>132</v>
      </c>
      <c r="G300"/>
      <c r="H300" s="11"/>
      <c r="I300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00">
        <v>1</v>
      </c>
      <c r="K30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0">
        <v>1</v>
      </c>
    </row>
    <row r="301" spans="1:12" hidden="1" x14ac:dyDescent="0.3">
      <c r="A301" s="9">
        <v>45809</v>
      </c>
      <c r="B301" s="3" t="s">
        <v>102</v>
      </c>
      <c r="C301" s="10">
        <v>9122</v>
      </c>
      <c r="D301" t="s">
        <v>27</v>
      </c>
      <c r="E301" t="s">
        <v>95</v>
      </c>
      <c r="F301" t="s">
        <v>132</v>
      </c>
      <c r="G301"/>
      <c r="H301" s="11"/>
      <c r="I30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1">
        <v>2</v>
      </c>
      <c r="K30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1">
        <v>1</v>
      </c>
    </row>
    <row r="302" spans="1:12" hidden="1" x14ac:dyDescent="0.3">
      <c r="A302" s="9">
        <v>45809</v>
      </c>
      <c r="B302" s="3" t="s">
        <v>103</v>
      </c>
      <c r="C302" s="10">
        <v>2000</v>
      </c>
      <c r="D302" t="s">
        <v>27</v>
      </c>
      <c r="E302" t="s">
        <v>95</v>
      </c>
      <c r="F302" t="s">
        <v>132</v>
      </c>
      <c r="G302"/>
      <c r="H302" s="11"/>
      <c r="I30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2">
        <v>2</v>
      </c>
      <c r="K30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2">
        <v>1</v>
      </c>
    </row>
    <row r="303" spans="1:12" hidden="1" x14ac:dyDescent="0.3">
      <c r="A303" s="9">
        <v>45809</v>
      </c>
      <c r="B303" s="3" t="s">
        <v>104</v>
      </c>
      <c r="C303" s="10">
        <v>3391</v>
      </c>
      <c r="D303" t="s">
        <v>27</v>
      </c>
      <c r="E303" t="s">
        <v>95</v>
      </c>
      <c r="F303" t="s">
        <v>132</v>
      </c>
      <c r="G303"/>
      <c r="H303" s="11"/>
      <c r="I30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3">
        <v>2</v>
      </c>
      <c r="K30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3">
        <v>1</v>
      </c>
    </row>
    <row r="304" spans="1:12" hidden="1" x14ac:dyDescent="0.3">
      <c r="A304" s="9">
        <v>45809</v>
      </c>
      <c r="B304" s="3" t="s">
        <v>134</v>
      </c>
      <c r="C304" s="10">
        <v>240000</v>
      </c>
      <c r="D304" t="s">
        <v>52</v>
      </c>
      <c r="E304" t="s">
        <v>95</v>
      </c>
      <c r="F304" t="s">
        <v>132</v>
      </c>
      <c r="G304"/>
      <c r="H304" s="11"/>
      <c r="I304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4">
        <v>2</v>
      </c>
      <c r="K30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4">
        <v>1</v>
      </c>
    </row>
    <row r="305" spans="1:12" hidden="1" x14ac:dyDescent="0.3">
      <c r="A305" s="9">
        <v>45809</v>
      </c>
      <c r="B305" s="3" t="s">
        <v>129</v>
      </c>
      <c r="C305" s="10">
        <v>150000</v>
      </c>
      <c r="D305" t="s">
        <v>52</v>
      </c>
      <c r="E305" t="s">
        <v>95</v>
      </c>
      <c r="F305" t="s">
        <v>132</v>
      </c>
      <c r="G305"/>
      <c r="H305" s="11"/>
      <c r="I3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5">
        <v>2</v>
      </c>
      <c r="K3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5">
        <v>1</v>
      </c>
    </row>
    <row r="306" spans="1:12" hidden="1" x14ac:dyDescent="0.3">
      <c r="A306" s="9">
        <v>45809</v>
      </c>
      <c r="B306" s="3" t="s">
        <v>130</v>
      </c>
      <c r="C306" s="10">
        <v>18000</v>
      </c>
      <c r="D306" t="s">
        <v>38</v>
      </c>
      <c r="E306" t="s">
        <v>95</v>
      </c>
      <c r="F306" t="s">
        <v>132</v>
      </c>
      <c r="G306"/>
      <c r="H306" s="11"/>
      <c r="I30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6">
        <v>2</v>
      </c>
      <c r="K30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6">
        <v>1</v>
      </c>
    </row>
    <row r="307" spans="1:12" hidden="1" x14ac:dyDescent="0.3">
      <c r="A307" s="9">
        <v>45809</v>
      </c>
      <c r="B307" s="15" t="s">
        <v>34</v>
      </c>
      <c r="C307" s="10">
        <v>2079000</v>
      </c>
      <c r="D307" t="s">
        <v>35</v>
      </c>
      <c r="E307" t="s">
        <v>35</v>
      </c>
      <c r="F307" t="s">
        <v>135</v>
      </c>
      <c r="G307"/>
      <c r="H307" s="11"/>
      <c r="I307" s="1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07">
        <v>4</v>
      </c>
      <c r="K307" s="1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07">
        <v>4</v>
      </c>
    </row>
    <row r="308" spans="1:12" hidden="1" x14ac:dyDescent="0.3">
      <c r="A308" s="9">
        <v>45809</v>
      </c>
      <c r="B308" s="2" t="s">
        <v>136</v>
      </c>
      <c r="C308" s="10">
        <v>820000</v>
      </c>
      <c r="D308" t="s">
        <v>35</v>
      </c>
      <c r="E308" t="s">
        <v>35</v>
      </c>
      <c r="F308" t="s">
        <v>135</v>
      </c>
      <c r="G308"/>
      <c r="H308" s="11"/>
      <c r="I308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08">
        <v>4</v>
      </c>
      <c r="K308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08">
        <v>4</v>
      </c>
    </row>
    <row r="309" spans="1:12" hidden="1" x14ac:dyDescent="0.3">
      <c r="A309" s="9">
        <v>45809</v>
      </c>
      <c r="B309" s="3" t="s">
        <v>94</v>
      </c>
      <c r="C309" s="10">
        <v>23000</v>
      </c>
      <c r="D309" t="s">
        <v>16</v>
      </c>
      <c r="E309" t="s">
        <v>95</v>
      </c>
      <c r="F309" t="s">
        <v>132</v>
      </c>
      <c r="G309"/>
      <c r="H309" s="11"/>
      <c r="I30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09">
        <v>2</v>
      </c>
      <c r="K30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09">
        <v>1</v>
      </c>
    </row>
    <row r="310" spans="1:12" hidden="1" x14ac:dyDescent="0.3">
      <c r="A310" s="9">
        <v>45809</v>
      </c>
      <c r="B310" s="3" t="s">
        <v>96</v>
      </c>
      <c r="C310" s="10">
        <v>1904</v>
      </c>
      <c r="D310" t="s">
        <v>27</v>
      </c>
      <c r="E310" t="s">
        <v>95</v>
      </c>
      <c r="F310" t="s">
        <v>132</v>
      </c>
      <c r="G310"/>
      <c r="H310" s="11"/>
      <c r="I31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0">
        <v>2</v>
      </c>
      <c r="K31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0">
        <v>1</v>
      </c>
    </row>
    <row r="311" spans="1:12" hidden="1" x14ac:dyDescent="0.3">
      <c r="A311" s="9">
        <v>45809</v>
      </c>
      <c r="B311" s="3" t="s">
        <v>97</v>
      </c>
      <c r="C311" s="10">
        <v>62000</v>
      </c>
      <c r="D311" t="s">
        <v>97</v>
      </c>
      <c r="E311" t="s">
        <v>95</v>
      </c>
      <c r="F311" t="s">
        <v>132</v>
      </c>
      <c r="G311"/>
      <c r="H311" s="11"/>
      <c r="I31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1">
        <v>2</v>
      </c>
      <c r="K31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1">
        <v>1</v>
      </c>
    </row>
    <row r="312" spans="1:12" hidden="1" x14ac:dyDescent="0.3">
      <c r="A312" s="9">
        <v>45809</v>
      </c>
      <c r="B312" s="3" t="s">
        <v>121</v>
      </c>
      <c r="C312" s="10">
        <v>12553</v>
      </c>
      <c r="D312" t="s">
        <v>118</v>
      </c>
      <c r="E312" t="s">
        <v>95</v>
      </c>
      <c r="F312" t="s">
        <v>137</v>
      </c>
      <c r="G312">
        <v>3</v>
      </c>
      <c r="H312" s="11">
        <v>2</v>
      </c>
      <c r="I312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2">
        <v>2</v>
      </c>
      <c r="K312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2">
        <v>1</v>
      </c>
    </row>
    <row r="313" spans="1:12" hidden="1" x14ac:dyDescent="0.3">
      <c r="A313" s="9">
        <v>45809</v>
      </c>
      <c r="B313" s="3" t="s">
        <v>112</v>
      </c>
      <c r="C313" s="10">
        <v>46584</v>
      </c>
      <c r="D313" t="s">
        <v>118</v>
      </c>
      <c r="E313" t="s">
        <v>95</v>
      </c>
      <c r="F313" t="s">
        <v>137</v>
      </c>
      <c r="G313">
        <v>6</v>
      </c>
      <c r="H313" s="11">
        <v>5</v>
      </c>
      <c r="I313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3">
        <v>2</v>
      </c>
      <c r="K313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3">
        <v>1</v>
      </c>
    </row>
    <row r="314" spans="1:12" hidden="1" x14ac:dyDescent="0.3">
      <c r="A314" s="9">
        <v>45809</v>
      </c>
      <c r="B314" s="3" t="s">
        <v>114</v>
      </c>
      <c r="C314" s="10">
        <v>10637</v>
      </c>
      <c r="D314" t="s">
        <v>113</v>
      </c>
      <c r="E314" t="s">
        <v>95</v>
      </c>
      <c r="F314" t="s">
        <v>137</v>
      </c>
      <c r="G314">
        <v>6</v>
      </c>
      <c r="H314" s="11">
        <v>5</v>
      </c>
      <c r="I314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14">
        <v>1</v>
      </c>
      <c r="K314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4">
        <v>1</v>
      </c>
    </row>
    <row r="315" spans="1:12" hidden="1" x14ac:dyDescent="0.3">
      <c r="A315" s="9">
        <v>45809</v>
      </c>
      <c r="B315" s="3" t="s">
        <v>122</v>
      </c>
      <c r="C315" s="10">
        <v>43000</v>
      </c>
      <c r="D315" t="s">
        <v>118</v>
      </c>
      <c r="E315" t="s">
        <v>95</v>
      </c>
      <c r="F315" t="s">
        <v>137</v>
      </c>
      <c r="G315">
        <v>12</v>
      </c>
      <c r="H315" s="11">
        <v>3</v>
      </c>
      <c r="I315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5">
        <v>2</v>
      </c>
      <c r="K315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5">
        <v>1</v>
      </c>
    </row>
    <row r="316" spans="1:12" hidden="1" x14ac:dyDescent="0.3">
      <c r="A316" s="9">
        <v>45809</v>
      </c>
      <c r="B316" s="3" t="s">
        <v>138</v>
      </c>
      <c r="C316" s="10">
        <v>39785</v>
      </c>
      <c r="D316" t="s">
        <v>118</v>
      </c>
      <c r="E316" t="s">
        <v>95</v>
      </c>
      <c r="F316" t="s">
        <v>137</v>
      </c>
      <c r="G316">
        <v>3</v>
      </c>
      <c r="H316" s="11">
        <v>1</v>
      </c>
      <c r="I316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6">
        <v>2</v>
      </c>
      <c r="K316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6">
        <v>1</v>
      </c>
    </row>
    <row r="317" spans="1:12" hidden="1" x14ac:dyDescent="0.3">
      <c r="A317" s="9">
        <v>45809</v>
      </c>
      <c r="B317" s="3" t="s">
        <v>128</v>
      </c>
      <c r="C317" s="10">
        <v>20000</v>
      </c>
      <c r="D317" t="s">
        <v>16</v>
      </c>
      <c r="E317" t="s">
        <v>95</v>
      </c>
      <c r="F317" t="s">
        <v>132</v>
      </c>
      <c r="G317"/>
      <c r="H317" s="11"/>
      <c r="I317" s="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17">
        <v>1</v>
      </c>
      <c r="K317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7">
        <v>1</v>
      </c>
    </row>
    <row r="318" spans="1:12" hidden="1" x14ac:dyDescent="0.3">
      <c r="A318" s="9">
        <v>45809</v>
      </c>
      <c r="B318" s="3" t="s">
        <v>131</v>
      </c>
      <c r="C318" s="10">
        <v>50000</v>
      </c>
      <c r="D318" t="s">
        <v>16</v>
      </c>
      <c r="E318" t="s">
        <v>95</v>
      </c>
      <c r="F318" t="s">
        <v>137</v>
      </c>
      <c r="G318">
        <v>12</v>
      </c>
      <c r="H318" s="11">
        <v>2</v>
      </c>
      <c r="I318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8">
        <v>2</v>
      </c>
      <c r="K318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8">
        <v>1</v>
      </c>
    </row>
    <row r="319" spans="1:12" hidden="1" x14ac:dyDescent="0.3">
      <c r="A319" s="9">
        <v>45809</v>
      </c>
      <c r="B319" s="3" t="s">
        <v>139</v>
      </c>
      <c r="C319" s="10">
        <v>22498</v>
      </c>
      <c r="D319" t="s">
        <v>118</v>
      </c>
      <c r="E319" t="s">
        <v>95</v>
      </c>
      <c r="F319" t="s">
        <v>137</v>
      </c>
      <c r="G319">
        <v>9</v>
      </c>
      <c r="H319" s="11">
        <v>1</v>
      </c>
      <c r="I319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19">
        <v>2</v>
      </c>
      <c r="K319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19">
        <v>1</v>
      </c>
    </row>
    <row r="320" spans="1:12" hidden="1" x14ac:dyDescent="0.3">
      <c r="A320" s="9">
        <v>45809</v>
      </c>
      <c r="B320" s="3" t="s">
        <v>140</v>
      </c>
      <c r="C320" s="10">
        <v>40480</v>
      </c>
      <c r="D320" t="s">
        <v>118</v>
      </c>
      <c r="E320" t="s">
        <v>95</v>
      </c>
      <c r="F320" t="s">
        <v>132</v>
      </c>
      <c r="G320"/>
      <c r="H320" s="11"/>
      <c r="I320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0">
        <v>2</v>
      </c>
      <c r="K320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0">
        <v>1</v>
      </c>
    </row>
    <row r="321" spans="1:12" hidden="1" x14ac:dyDescent="0.3">
      <c r="A321" s="9">
        <v>45809</v>
      </c>
      <c r="B321" s="3" t="s">
        <v>141</v>
      </c>
      <c r="C321" s="10">
        <v>0</v>
      </c>
      <c r="D321" t="s">
        <v>38</v>
      </c>
      <c r="E321" t="s">
        <v>95</v>
      </c>
      <c r="F321" t="s">
        <v>132</v>
      </c>
      <c r="G321"/>
      <c r="H321" s="11"/>
      <c r="I321" s="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1">
        <v>2</v>
      </c>
      <c r="K321" s="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1">
        <v>1</v>
      </c>
    </row>
    <row r="322" spans="1:12" hidden="1" x14ac:dyDescent="0.3">
      <c r="A322" s="9">
        <v>45809</v>
      </c>
      <c r="B322" s="3" t="s">
        <v>142</v>
      </c>
      <c r="C322" s="10">
        <v>14200</v>
      </c>
      <c r="D322" t="s">
        <v>118</v>
      </c>
      <c r="E322" t="s">
        <v>95</v>
      </c>
      <c r="F322" t="s">
        <v>132</v>
      </c>
      <c r="I3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2">
        <v>2</v>
      </c>
      <c r="K32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2">
        <v>1</v>
      </c>
    </row>
    <row r="323" spans="1:12" hidden="1" x14ac:dyDescent="0.3">
      <c r="A323" s="9">
        <v>45809</v>
      </c>
      <c r="B323" s="3" t="s">
        <v>143</v>
      </c>
      <c r="C323" s="10">
        <v>10800</v>
      </c>
      <c r="D323" t="s">
        <v>27</v>
      </c>
      <c r="E323" t="s">
        <v>95</v>
      </c>
      <c r="F323" t="s">
        <v>132</v>
      </c>
      <c r="G323"/>
      <c r="H323" s="11"/>
      <c r="I32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3">
        <v>2</v>
      </c>
      <c r="K32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3">
        <v>1</v>
      </c>
    </row>
    <row r="324" spans="1:12" hidden="1" x14ac:dyDescent="0.3">
      <c r="A324" s="9">
        <v>45839</v>
      </c>
      <c r="B324" s="3" t="s">
        <v>134</v>
      </c>
      <c r="C324" s="10">
        <v>240000</v>
      </c>
      <c r="D324" t="s">
        <v>52</v>
      </c>
      <c r="E324" t="s">
        <v>95</v>
      </c>
      <c r="F324" t="s">
        <v>132</v>
      </c>
      <c r="G324"/>
      <c r="H324" s="11"/>
      <c r="I32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4">
        <v>2</v>
      </c>
      <c r="K32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4">
        <v>1</v>
      </c>
    </row>
    <row r="325" spans="1:12" hidden="1" x14ac:dyDescent="0.3">
      <c r="A325" s="9">
        <v>45839</v>
      </c>
      <c r="B325" s="3" t="s">
        <v>129</v>
      </c>
      <c r="C325" s="10">
        <v>150000</v>
      </c>
      <c r="D325" t="s">
        <v>52</v>
      </c>
      <c r="E325" t="s">
        <v>95</v>
      </c>
      <c r="F325" t="s">
        <v>132</v>
      </c>
      <c r="G325"/>
      <c r="H325" s="11"/>
      <c r="I32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5">
        <v>2</v>
      </c>
      <c r="K32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5">
        <v>1</v>
      </c>
    </row>
    <row r="326" spans="1:12" hidden="1" x14ac:dyDescent="0.3">
      <c r="A326" s="9">
        <v>45839</v>
      </c>
      <c r="B326" s="3" t="s">
        <v>121</v>
      </c>
      <c r="C326" s="10">
        <v>12553</v>
      </c>
      <c r="D326" t="s">
        <v>118</v>
      </c>
      <c r="E326" t="s">
        <v>95</v>
      </c>
      <c r="F326" t="s">
        <v>137</v>
      </c>
      <c r="G326">
        <v>3</v>
      </c>
      <c r="H326" s="11">
        <v>3</v>
      </c>
      <c r="I32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6">
        <v>2</v>
      </c>
      <c r="K32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6">
        <v>1</v>
      </c>
    </row>
    <row r="327" spans="1:12" hidden="1" x14ac:dyDescent="0.3">
      <c r="A327" s="9">
        <v>45839</v>
      </c>
      <c r="B327" s="3" t="s">
        <v>112</v>
      </c>
      <c r="C327" s="10">
        <v>46584</v>
      </c>
      <c r="D327" t="s">
        <v>118</v>
      </c>
      <c r="E327" t="s">
        <v>95</v>
      </c>
      <c r="F327" t="s">
        <v>137</v>
      </c>
      <c r="G327">
        <v>6</v>
      </c>
      <c r="H327" s="11">
        <v>6</v>
      </c>
      <c r="I32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7">
        <v>2</v>
      </c>
      <c r="K32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7">
        <v>1</v>
      </c>
    </row>
    <row r="328" spans="1:12" hidden="1" x14ac:dyDescent="0.3">
      <c r="A328" s="9">
        <v>45839</v>
      </c>
      <c r="B328" s="3" t="s">
        <v>122</v>
      </c>
      <c r="C328" s="10">
        <v>43000</v>
      </c>
      <c r="D328" t="s">
        <v>118</v>
      </c>
      <c r="E328" t="s">
        <v>95</v>
      </c>
      <c r="F328" t="s">
        <v>137</v>
      </c>
      <c r="G328">
        <v>12</v>
      </c>
      <c r="H328" s="11">
        <v>4</v>
      </c>
      <c r="I32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8">
        <v>2</v>
      </c>
      <c r="K32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8">
        <v>1</v>
      </c>
    </row>
    <row r="329" spans="1:12" hidden="1" x14ac:dyDescent="0.3">
      <c r="A329" s="9">
        <v>45839</v>
      </c>
      <c r="B329" s="3" t="s">
        <v>138</v>
      </c>
      <c r="C329" s="10">
        <v>39785</v>
      </c>
      <c r="D329" t="s">
        <v>118</v>
      </c>
      <c r="E329" t="s">
        <v>95</v>
      </c>
      <c r="F329" t="s">
        <v>137</v>
      </c>
      <c r="G329">
        <v>3</v>
      </c>
      <c r="H329" s="11">
        <v>2</v>
      </c>
      <c r="I32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29">
        <v>2</v>
      </c>
      <c r="K32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29">
        <v>1</v>
      </c>
    </row>
    <row r="330" spans="1:12" hidden="1" x14ac:dyDescent="0.3">
      <c r="A330" s="9">
        <v>45839</v>
      </c>
      <c r="B330" s="3" t="s">
        <v>139</v>
      </c>
      <c r="C330" s="10">
        <v>22498</v>
      </c>
      <c r="D330" t="s">
        <v>118</v>
      </c>
      <c r="E330" t="s">
        <v>95</v>
      </c>
      <c r="F330" t="s">
        <v>137</v>
      </c>
      <c r="G330">
        <v>9</v>
      </c>
      <c r="H330" s="11">
        <v>2</v>
      </c>
      <c r="I33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30">
        <v>2</v>
      </c>
      <c r="K33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0">
        <v>1</v>
      </c>
    </row>
    <row r="331" spans="1:12" hidden="1" x14ac:dyDescent="0.3">
      <c r="A331" s="9">
        <v>45839</v>
      </c>
      <c r="B331" s="3" t="s">
        <v>142</v>
      </c>
      <c r="C331" s="10">
        <v>14200</v>
      </c>
      <c r="D331" t="s">
        <v>118</v>
      </c>
      <c r="E331" t="s">
        <v>95</v>
      </c>
      <c r="F331" t="s">
        <v>132</v>
      </c>
      <c r="I33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31">
        <v>2</v>
      </c>
      <c r="K33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1">
        <v>1</v>
      </c>
    </row>
    <row r="332" spans="1:12" hidden="1" x14ac:dyDescent="0.3">
      <c r="A332" s="9">
        <v>45839</v>
      </c>
      <c r="B332" s="3" t="s">
        <v>18</v>
      </c>
      <c r="C332" s="10">
        <v>95170</v>
      </c>
      <c r="D332" t="s">
        <v>19</v>
      </c>
      <c r="E332" t="s">
        <v>95</v>
      </c>
      <c r="F332" t="s">
        <v>132</v>
      </c>
      <c r="G332"/>
      <c r="H332" s="11"/>
      <c r="I33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32">
        <v>1</v>
      </c>
      <c r="K33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2">
        <v>1</v>
      </c>
    </row>
    <row r="333" spans="1:12" hidden="1" x14ac:dyDescent="0.3">
      <c r="A333" s="9">
        <v>45839</v>
      </c>
      <c r="B333" s="3" t="s">
        <v>133</v>
      </c>
      <c r="C333" s="10">
        <v>146000</v>
      </c>
      <c r="D333" t="s">
        <v>19</v>
      </c>
      <c r="E333" t="s">
        <v>95</v>
      </c>
      <c r="F333" t="s">
        <v>132</v>
      </c>
      <c r="G333"/>
      <c r="H333" s="11"/>
      <c r="I33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33">
        <v>1</v>
      </c>
      <c r="K33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3">
        <v>1</v>
      </c>
    </row>
    <row r="334" spans="1:12" hidden="1" x14ac:dyDescent="0.3">
      <c r="A334" s="9">
        <v>45839</v>
      </c>
      <c r="B334" s="2" t="s">
        <v>34</v>
      </c>
      <c r="C334" s="10">
        <v>2292185</v>
      </c>
      <c r="D334" t="s">
        <v>35</v>
      </c>
      <c r="E334" t="s">
        <v>35</v>
      </c>
      <c r="F334" t="s">
        <v>135</v>
      </c>
      <c r="G334"/>
      <c r="H334" s="11"/>
      <c r="I334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34">
        <v>4</v>
      </c>
      <c r="K334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34">
        <v>4</v>
      </c>
    </row>
    <row r="335" spans="1:12" hidden="1" x14ac:dyDescent="0.3">
      <c r="A335" s="9">
        <v>45839</v>
      </c>
      <c r="B335" s="2" t="s">
        <v>36</v>
      </c>
      <c r="C335" s="10">
        <v>245055</v>
      </c>
      <c r="D335" t="s">
        <v>35</v>
      </c>
      <c r="E335" t="s">
        <v>35</v>
      </c>
      <c r="F335" t="s">
        <v>135</v>
      </c>
      <c r="G335"/>
      <c r="H335" s="11"/>
      <c r="I335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35">
        <v>4</v>
      </c>
      <c r="K335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35">
        <v>4</v>
      </c>
    </row>
    <row r="336" spans="1:12" hidden="1" x14ac:dyDescent="0.3">
      <c r="A336" s="9">
        <v>45839</v>
      </c>
      <c r="B336" s="3" t="s">
        <v>86</v>
      </c>
      <c r="C336" s="10">
        <v>233750</v>
      </c>
      <c r="D336" t="s">
        <v>16</v>
      </c>
      <c r="E336" t="s">
        <v>95</v>
      </c>
      <c r="F336" t="s">
        <v>132</v>
      </c>
      <c r="G336"/>
      <c r="H336" s="11"/>
      <c r="I33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36">
        <v>1</v>
      </c>
      <c r="K3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6">
        <v>1</v>
      </c>
    </row>
    <row r="337" spans="1:12" hidden="1" x14ac:dyDescent="0.3">
      <c r="A337" s="9">
        <v>45839</v>
      </c>
      <c r="B337" s="3" t="s">
        <v>94</v>
      </c>
      <c r="C337" s="10">
        <v>23000</v>
      </c>
      <c r="D337" t="s">
        <v>16</v>
      </c>
      <c r="E337" t="s">
        <v>95</v>
      </c>
      <c r="F337" t="s">
        <v>132</v>
      </c>
      <c r="G337"/>
      <c r="H337" s="11"/>
      <c r="I33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37">
        <v>2</v>
      </c>
      <c r="K33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7">
        <v>1</v>
      </c>
    </row>
    <row r="338" spans="1:12" hidden="1" x14ac:dyDescent="0.3">
      <c r="A338" s="9">
        <v>45839</v>
      </c>
      <c r="B338" s="3" t="s">
        <v>128</v>
      </c>
      <c r="C338" s="10">
        <v>20000</v>
      </c>
      <c r="D338" t="s">
        <v>16</v>
      </c>
      <c r="E338" t="s">
        <v>95</v>
      </c>
      <c r="F338" t="s">
        <v>132</v>
      </c>
      <c r="G338"/>
      <c r="H338" s="11"/>
      <c r="I33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38">
        <v>1</v>
      </c>
      <c r="K33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8">
        <v>1</v>
      </c>
    </row>
    <row r="339" spans="1:12" hidden="1" x14ac:dyDescent="0.3">
      <c r="A339" s="9">
        <v>45839</v>
      </c>
      <c r="B339" s="3" t="s">
        <v>131</v>
      </c>
      <c r="C339" s="10">
        <v>70000</v>
      </c>
      <c r="D339" t="s">
        <v>16</v>
      </c>
      <c r="E339" t="s">
        <v>95</v>
      </c>
      <c r="F339" t="s">
        <v>137</v>
      </c>
      <c r="G339">
        <v>12</v>
      </c>
      <c r="H339" s="11">
        <v>3</v>
      </c>
      <c r="I33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39">
        <v>2</v>
      </c>
      <c r="K3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39">
        <v>1</v>
      </c>
    </row>
    <row r="340" spans="1:12" hidden="1" x14ac:dyDescent="0.3">
      <c r="A340" s="9">
        <v>45839</v>
      </c>
      <c r="B340" s="3" t="s">
        <v>144</v>
      </c>
      <c r="C340" s="10">
        <v>32500</v>
      </c>
      <c r="D340" t="s">
        <v>16</v>
      </c>
      <c r="E340" t="s">
        <v>95</v>
      </c>
      <c r="F340" t="s">
        <v>132</v>
      </c>
      <c r="G340"/>
      <c r="H340" s="11"/>
      <c r="I340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340">
        <v>3</v>
      </c>
      <c r="K3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0">
        <v>1</v>
      </c>
    </row>
    <row r="341" spans="1:12" hidden="1" x14ac:dyDescent="0.3">
      <c r="A341" s="9">
        <v>45839</v>
      </c>
      <c r="B341" s="3" t="s">
        <v>145</v>
      </c>
      <c r="C341" s="10">
        <v>25000</v>
      </c>
      <c r="D341" t="s">
        <v>16</v>
      </c>
      <c r="E341" t="s">
        <v>95</v>
      </c>
      <c r="F341" t="s">
        <v>132</v>
      </c>
      <c r="G341"/>
      <c r="H341" s="11"/>
      <c r="I341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341">
        <v>3</v>
      </c>
      <c r="K34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1">
        <v>1</v>
      </c>
    </row>
    <row r="342" spans="1:12" hidden="1" x14ac:dyDescent="0.3">
      <c r="A342" s="9">
        <v>45839</v>
      </c>
      <c r="B342" s="3" t="s">
        <v>97</v>
      </c>
      <c r="C342" s="10">
        <v>78734.77</v>
      </c>
      <c r="D342" t="s">
        <v>97</v>
      </c>
      <c r="E342" t="s">
        <v>95</v>
      </c>
      <c r="F342" t="s">
        <v>132</v>
      </c>
      <c r="G342"/>
      <c r="H342" s="11"/>
      <c r="I34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42">
        <v>2</v>
      </c>
      <c r="K3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2">
        <v>1</v>
      </c>
    </row>
    <row r="343" spans="1:12" hidden="1" x14ac:dyDescent="0.3">
      <c r="A343" s="9">
        <v>45839</v>
      </c>
      <c r="B343" s="3" t="s">
        <v>37</v>
      </c>
      <c r="C343" s="10">
        <v>25000</v>
      </c>
      <c r="D343" t="s">
        <v>38</v>
      </c>
      <c r="E343" t="s">
        <v>95</v>
      </c>
      <c r="F343" t="s">
        <v>132</v>
      </c>
      <c r="G343"/>
      <c r="H343" s="11"/>
      <c r="I34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43">
        <v>1</v>
      </c>
      <c r="K34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3">
        <v>1</v>
      </c>
    </row>
    <row r="344" spans="1:12" hidden="1" x14ac:dyDescent="0.3">
      <c r="A344" s="9">
        <v>45839</v>
      </c>
      <c r="B344" s="3" t="s">
        <v>130</v>
      </c>
      <c r="C344" s="10">
        <v>39000</v>
      </c>
      <c r="D344" t="s">
        <v>38</v>
      </c>
      <c r="E344" t="s">
        <v>95</v>
      </c>
      <c r="F344" t="s">
        <v>132</v>
      </c>
      <c r="G344"/>
      <c r="H344" s="11"/>
      <c r="I34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44">
        <v>2</v>
      </c>
      <c r="K3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4">
        <v>1</v>
      </c>
    </row>
    <row r="345" spans="1:12" hidden="1" x14ac:dyDescent="0.3">
      <c r="A345" s="9">
        <v>45839</v>
      </c>
      <c r="B345" s="3" t="s">
        <v>141</v>
      </c>
      <c r="C345" s="10">
        <v>81562</v>
      </c>
      <c r="D345" t="s">
        <v>38</v>
      </c>
      <c r="E345" t="s">
        <v>95</v>
      </c>
      <c r="F345" t="s">
        <v>132</v>
      </c>
      <c r="G345"/>
      <c r="H345" s="11"/>
      <c r="I34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45">
        <v>2</v>
      </c>
      <c r="K3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5">
        <v>1</v>
      </c>
    </row>
    <row r="346" spans="1:12" hidden="1" x14ac:dyDescent="0.3">
      <c r="A346" s="9">
        <v>45839</v>
      </c>
      <c r="B346" s="3" t="s">
        <v>98</v>
      </c>
      <c r="C346" s="10">
        <v>10000</v>
      </c>
      <c r="D346" t="s">
        <v>23</v>
      </c>
      <c r="E346" t="s">
        <v>95</v>
      </c>
      <c r="F346" t="s">
        <v>132</v>
      </c>
      <c r="G346"/>
      <c r="H346" s="11"/>
      <c r="I34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46">
        <v>1</v>
      </c>
      <c r="K3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6">
        <v>1</v>
      </c>
    </row>
    <row r="347" spans="1:12" hidden="1" x14ac:dyDescent="0.3">
      <c r="A347" s="9">
        <v>45839</v>
      </c>
      <c r="B347" s="3" t="s">
        <v>100</v>
      </c>
      <c r="C347" s="10">
        <v>15101</v>
      </c>
      <c r="D347" t="s">
        <v>23</v>
      </c>
      <c r="E347" t="s">
        <v>95</v>
      </c>
      <c r="F347" t="s">
        <v>132</v>
      </c>
      <c r="G347"/>
      <c r="H347" s="11"/>
      <c r="I34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47">
        <v>1</v>
      </c>
      <c r="K3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7">
        <v>1</v>
      </c>
    </row>
    <row r="348" spans="1:12" hidden="1" x14ac:dyDescent="0.3">
      <c r="A348" s="9">
        <v>45839</v>
      </c>
      <c r="B348" s="3" t="s">
        <v>102</v>
      </c>
      <c r="C348" s="10">
        <v>9122</v>
      </c>
      <c r="D348" t="s">
        <v>27</v>
      </c>
      <c r="E348" t="s">
        <v>95</v>
      </c>
      <c r="F348" t="s">
        <v>132</v>
      </c>
      <c r="G348"/>
      <c r="H348" s="11"/>
      <c r="I34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48">
        <v>2</v>
      </c>
      <c r="K34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8">
        <v>1</v>
      </c>
    </row>
    <row r="349" spans="1:12" hidden="1" x14ac:dyDescent="0.3">
      <c r="A349" s="9">
        <v>45839</v>
      </c>
      <c r="B349" s="3" t="s">
        <v>103</v>
      </c>
      <c r="C349" s="10">
        <v>2000</v>
      </c>
      <c r="D349" t="s">
        <v>27</v>
      </c>
      <c r="E349" t="s">
        <v>95</v>
      </c>
      <c r="F349" t="s">
        <v>132</v>
      </c>
      <c r="G349"/>
      <c r="H349" s="11"/>
      <c r="I34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49">
        <v>2</v>
      </c>
      <c r="K3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49">
        <v>1</v>
      </c>
    </row>
    <row r="350" spans="1:12" hidden="1" x14ac:dyDescent="0.3">
      <c r="A350" s="9">
        <v>45839</v>
      </c>
      <c r="B350" s="3" t="s">
        <v>104</v>
      </c>
      <c r="C350" s="10">
        <v>3391</v>
      </c>
      <c r="D350" t="s">
        <v>27</v>
      </c>
      <c r="E350" t="s">
        <v>95</v>
      </c>
      <c r="F350" t="s">
        <v>132</v>
      </c>
      <c r="G350"/>
      <c r="H350" s="11"/>
      <c r="I35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0">
        <v>2</v>
      </c>
      <c r="K3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0">
        <v>1</v>
      </c>
    </row>
    <row r="351" spans="1:12" hidden="1" x14ac:dyDescent="0.3">
      <c r="A351" s="9">
        <v>45839</v>
      </c>
      <c r="B351" s="3" t="s">
        <v>96</v>
      </c>
      <c r="C351" s="10">
        <v>1904</v>
      </c>
      <c r="D351" t="s">
        <v>27</v>
      </c>
      <c r="E351" t="s">
        <v>95</v>
      </c>
      <c r="F351" t="s">
        <v>132</v>
      </c>
      <c r="G351"/>
      <c r="H351" s="11"/>
      <c r="I35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1">
        <v>2</v>
      </c>
      <c r="K3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1">
        <v>1</v>
      </c>
    </row>
    <row r="352" spans="1:12" hidden="1" x14ac:dyDescent="0.3">
      <c r="A352" s="9">
        <v>45839</v>
      </c>
      <c r="B352" s="3" t="s">
        <v>143</v>
      </c>
      <c r="C352" s="10">
        <v>10800</v>
      </c>
      <c r="D352" t="s">
        <v>27</v>
      </c>
      <c r="E352" t="s">
        <v>95</v>
      </c>
      <c r="F352" t="s">
        <v>132</v>
      </c>
      <c r="G352"/>
      <c r="H352" s="11"/>
      <c r="I35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2">
        <v>2</v>
      </c>
      <c r="K3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2">
        <v>1</v>
      </c>
    </row>
    <row r="353" spans="1:12" hidden="1" x14ac:dyDescent="0.3">
      <c r="A353" s="9">
        <v>45870</v>
      </c>
      <c r="B353" s="3" t="s">
        <v>134</v>
      </c>
      <c r="C353" s="10">
        <v>240000</v>
      </c>
      <c r="D353" t="s">
        <v>52</v>
      </c>
      <c r="E353" t="s">
        <v>95</v>
      </c>
      <c r="F353" t="s">
        <v>132</v>
      </c>
      <c r="G353"/>
      <c r="H353" s="11"/>
      <c r="I35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3">
        <v>2</v>
      </c>
      <c r="K35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3">
        <v>1</v>
      </c>
    </row>
    <row r="354" spans="1:12" hidden="1" x14ac:dyDescent="0.3">
      <c r="A354" s="9">
        <v>45870</v>
      </c>
      <c r="B354" s="3" t="s">
        <v>129</v>
      </c>
      <c r="C354" s="10">
        <v>150000</v>
      </c>
      <c r="D354" t="s">
        <v>52</v>
      </c>
      <c r="E354" t="s">
        <v>95</v>
      </c>
      <c r="F354" t="s">
        <v>132</v>
      </c>
      <c r="G354"/>
      <c r="H354" s="11"/>
      <c r="I35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4">
        <v>2</v>
      </c>
      <c r="K3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4">
        <v>1</v>
      </c>
    </row>
    <row r="355" spans="1:12" hidden="1" x14ac:dyDescent="0.3">
      <c r="A355" s="9">
        <v>45870</v>
      </c>
      <c r="B355" s="3" t="s">
        <v>122</v>
      </c>
      <c r="C355" s="10">
        <v>43000</v>
      </c>
      <c r="D355" t="s">
        <v>118</v>
      </c>
      <c r="E355" t="s">
        <v>95</v>
      </c>
      <c r="F355" t="s">
        <v>137</v>
      </c>
      <c r="G355">
        <v>12</v>
      </c>
      <c r="H355" s="11">
        <v>5</v>
      </c>
      <c r="I35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5">
        <v>2</v>
      </c>
      <c r="K35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5">
        <v>1</v>
      </c>
    </row>
    <row r="356" spans="1:12" hidden="1" x14ac:dyDescent="0.3">
      <c r="A356" s="9">
        <v>45870</v>
      </c>
      <c r="B356" s="3" t="s">
        <v>139</v>
      </c>
      <c r="C356" s="10">
        <v>22498</v>
      </c>
      <c r="D356" t="s">
        <v>118</v>
      </c>
      <c r="E356" t="s">
        <v>95</v>
      </c>
      <c r="F356" t="s">
        <v>137</v>
      </c>
      <c r="G356">
        <v>9</v>
      </c>
      <c r="H356" s="11">
        <v>4</v>
      </c>
      <c r="I35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6">
        <v>2</v>
      </c>
      <c r="K35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6">
        <v>1</v>
      </c>
    </row>
    <row r="357" spans="1:12" hidden="1" x14ac:dyDescent="0.3">
      <c r="A357" s="9">
        <v>45870</v>
      </c>
      <c r="B357" s="3" t="s">
        <v>142</v>
      </c>
      <c r="C357" s="10">
        <v>14200</v>
      </c>
      <c r="D357" t="s">
        <v>118</v>
      </c>
      <c r="E357" t="s">
        <v>95</v>
      </c>
      <c r="F357" t="s">
        <v>132</v>
      </c>
      <c r="I35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57">
        <v>2</v>
      </c>
      <c r="K35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7">
        <v>1</v>
      </c>
    </row>
    <row r="358" spans="1:12" hidden="1" x14ac:dyDescent="0.3">
      <c r="A358" s="9">
        <v>45870</v>
      </c>
      <c r="B358" s="3" t="s">
        <v>18</v>
      </c>
      <c r="C358" s="10">
        <v>90000</v>
      </c>
      <c r="D358" t="s">
        <v>19</v>
      </c>
      <c r="E358" t="s">
        <v>95</v>
      </c>
      <c r="F358" t="s">
        <v>132</v>
      </c>
      <c r="G358"/>
      <c r="H358" s="11"/>
      <c r="I35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58">
        <v>1</v>
      </c>
      <c r="K35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8">
        <v>1</v>
      </c>
    </row>
    <row r="359" spans="1:12" hidden="1" x14ac:dyDescent="0.3">
      <c r="A359" s="9">
        <v>45870</v>
      </c>
      <c r="B359" s="3" t="s">
        <v>133</v>
      </c>
      <c r="C359" s="10">
        <v>155322</v>
      </c>
      <c r="D359" t="s">
        <v>19</v>
      </c>
      <c r="E359" t="s">
        <v>95</v>
      </c>
      <c r="F359" t="s">
        <v>132</v>
      </c>
      <c r="G359"/>
      <c r="H359" s="11"/>
      <c r="I35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59">
        <v>1</v>
      </c>
      <c r="K35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59">
        <v>1</v>
      </c>
    </row>
    <row r="360" spans="1:12" hidden="1" x14ac:dyDescent="0.3">
      <c r="A360" s="9">
        <v>45870</v>
      </c>
      <c r="B360" s="15" t="s">
        <v>34</v>
      </c>
      <c r="C360" s="10">
        <v>2303700</v>
      </c>
      <c r="D360" t="s">
        <v>35</v>
      </c>
      <c r="E360" t="s">
        <v>35</v>
      </c>
      <c r="F360" t="s">
        <v>135</v>
      </c>
      <c r="G360"/>
      <c r="H360" s="11"/>
      <c r="I36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60">
        <v>4</v>
      </c>
      <c r="K36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60">
        <v>4</v>
      </c>
    </row>
    <row r="361" spans="1:12" hidden="1" x14ac:dyDescent="0.3">
      <c r="A361" s="9">
        <v>45870</v>
      </c>
      <c r="B361" s="15" t="s">
        <v>36</v>
      </c>
      <c r="C361" s="10">
        <v>81645</v>
      </c>
      <c r="D361" t="s">
        <v>35</v>
      </c>
      <c r="E361" t="s">
        <v>35</v>
      </c>
      <c r="F361" t="s">
        <v>135</v>
      </c>
      <c r="G361"/>
      <c r="H361" s="11"/>
      <c r="I36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61">
        <v>4</v>
      </c>
      <c r="K36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61">
        <v>4</v>
      </c>
    </row>
    <row r="362" spans="1:12" hidden="1" x14ac:dyDescent="0.3">
      <c r="A362" s="9">
        <v>45870</v>
      </c>
      <c r="B362" s="3" t="s">
        <v>86</v>
      </c>
      <c r="C362" s="10">
        <v>158900</v>
      </c>
      <c r="D362" t="s">
        <v>16</v>
      </c>
      <c r="E362" t="s">
        <v>95</v>
      </c>
      <c r="F362" t="s">
        <v>132</v>
      </c>
      <c r="G362"/>
      <c r="H362" s="11"/>
      <c r="I36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62">
        <v>1</v>
      </c>
      <c r="K36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2">
        <v>1</v>
      </c>
    </row>
    <row r="363" spans="1:12" hidden="1" x14ac:dyDescent="0.3">
      <c r="A363" s="9">
        <v>45870</v>
      </c>
      <c r="B363" s="3" t="s">
        <v>94</v>
      </c>
      <c r="C363" s="10">
        <v>43000</v>
      </c>
      <c r="D363" t="s">
        <v>16</v>
      </c>
      <c r="E363" t="s">
        <v>95</v>
      </c>
      <c r="F363" t="s">
        <v>132</v>
      </c>
      <c r="G363"/>
      <c r="H363" s="11"/>
      <c r="I36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63">
        <v>2</v>
      </c>
      <c r="K36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3">
        <v>1</v>
      </c>
    </row>
    <row r="364" spans="1:12" hidden="1" x14ac:dyDescent="0.3">
      <c r="A364" s="9">
        <v>45870</v>
      </c>
      <c r="B364" s="3" t="s">
        <v>128</v>
      </c>
      <c r="C364" s="10">
        <v>0</v>
      </c>
      <c r="D364" t="s">
        <v>16</v>
      </c>
      <c r="E364" t="s">
        <v>95</v>
      </c>
      <c r="F364" t="s">
        <v>132</v>
      </c>
      <c r="G364"/>
      <c r="H364" s="11"/>
      <c r="I36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64">
        <v>1</v>
      </c>
      <c r="K36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4">
        <v>1</v>
      </c>
    </row>
    <row r="365" spans="1:12" hidden="1" x14ac:dyDescent="0.3">
      <c r="A365" s="9">
        <v>45870</v>
      </c>
      <c r="B365" s="3" t="s">
        <v>131</v>
      </c>
      <c r="C365" s="10">
        <v>70000</v>
      </c>
      <c r="D365" t="s">
        <v>16</v>
      </c>
      <c r="E365" t="s">
        <v>95</v>
      </c>
      <c r="F365" t="s">
        <v>137</v>
      </c>
      <c r="G365">
        <v>12</v>
      </c>
      <c r="H365" s="11">
        <v>4</v>
      </c>
      <c r="I36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65">
        <v>2</v>
      </c>
      <c r="K36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5">
        <v>1</v>
      </c>
    </row>
    <row r="366" spans="1:12" hidden="1" x14ac:dyDescent="0.3">
      <c r="A366" s="9">
        <v>45870</v>
      </c>
      <c r="B366" s="3" t="s">
        <v>97</v>
      </c>
      <c r="C366" s="10">
        <v>78734.77</v>
      </c>
      <c r="D366" t="s">
        <v>97</v>
      </c>
      <c r="E366" t="s">
        <v>95</v>
      </c>
      <c r="F366" t="s">
        <v>132</v>
      </c>
      <c r="G366"/>
      <c r="H366" s="11"/>
      <c r="I36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66">
        <v>2</v>
      </c>
      <c r="K36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6">
        <v>1</v>
      </c>
    </row>
    <row r="367" spans="1:12" hidden="1" x14ac:dyDescent="0.3">
      <c r="A367" s="9">
        <v>45870</v>
      </c>
      <c r="B367" s="3" t="s">
        <v>37</v>
      </c>
      <c r="C367" s="10">
        <v>30000</v>
      </c>
      <c r="D367" t="s">
        <v>38</v>
      </c>
      <c r="E367" t="s">
        <v>95</v>
      </c>
      <c r="F367" t="s">
        <v>132</v>
      </c>
      <c r="G367"/>
      <c r="H367" s="11"/>
      <c r="I36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67">
        <v>1</v>
      </c>
      <c r="K36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7">
        <v>1</v>
      </c>
    </row>
    <row r="368" spans="1:12" hidden="1" x14ac:dyDescent="0.3">
      <c r="A368" s="9">
        <v>45870</v>
      </c>
      <c r="B368" s="3" t="s">
        <v>130</v>
      </c>
      <c r="C368" s="10">
        <v>39000</v>
      </c>
      <c r="D368" t="s">
        <v>38</v>
      </c>
      <c r="E368" t="s">
        <v>95</v>
      </c>
      <c r="F368" t="s">
        <v>132</v>
      </c>
      <c r="G368"/>
      <c r="H368" s="11"/>
      <c r="I36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68">
        <v>2</v>
      </c>
      <c r="K36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8">
        <v>1</v>
      </c>
    </row>
    <row r="369" spans="1:12" hidden="1" x14ac:dyDescent="0.3">
      <c r="A369" s="9">
        <v>45870</v>
      </c>
      <c r="B369" s="3" t="s">
        <v>141</v>
      </c>
      <c r="C369" s="10">
        <v>116926</v>
      </c>
      <c r="D369" t="s">
        <v>38</v>
      </c>
      <c r="E369" t="s">
        <v>95</v>
      </c>
      <c r="F369" t="s">
        <v>132</v>
      </c>
      <c r="G369"/>
      <c r="H369" s="11"/>
      <c r="I36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69">
        <v>2</v>
      </c>
      <c r="K36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69">
        <v>1</v>
      </c>
    </row>
    <row r="370" spans="1:12" hidden="1" x14ac:dyDescent="0.3">
      <c r="A370" s="9">
        <v>45870</v>
      </c>
      <c r="B370" s="3" t="s">
        <v>98</v>
      </c>
      <c r="C370" s="10">
        <v>10000</v>
      </c>
      <c r="D370" t="s">
        <v>23</v>
      </c>
      <c r="E370" t="s">
        <v>95</v>
      </c>
      <c r="F370" t="s">
        <v>132</v>
      </c>
      <c r="G370"/>
      <c r="H370" s="11"/>
      <c r="I37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70">
        <v>1</v>
      </c>
      <c r="K37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0">
        <v>1</v>
      </c>
    </row>
    <row r="371" spans="1:12" hidden="1" x14ac:dyDescent="0.3">
      <c r="A371" s="9">
        <v>45870</v>
      </c>
      <c r="B371" s="3" t="s">
        <v>100</v>
      </c>
      <c r="C371" s="10">
        <v>15500</v>
      </c>
      <c r="D371" t="s">
        <v>23</v>
      </c>
      <c r="E371" t="s">
        <v>95</v>
      </c>
      <c r="F371" t="s">
        <v>132</v>
      </c>
      <c r="G371"/>
      <c r="H371" s="11"/>
      <c r="I37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71">
        <v>1</v>
      </c>
      <c r="K3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1">
        <v>1</v>
      </c>
    </row>
    <row r="372" spans="1:12" hidden="1" x14ac:dyDescent="0.3">
      <c r="A372" s="9">
        <v>45870</v>
      </c>
      <c r="B372" s="3" t="s">
        <v>102</v>
      </c>
      <c r="C372" s="10">
        <v>9122</v>
      </c>
      <c r="D372" t="s">
        <v>27</v>
      </c>
      <c r="E372" t="s">
        <v>95</v>
      </c>
      <c r="F372" t="s">
        <v>132</v>
      </c>
      <c r="G372"/>
      <c r="H372" s="11"/>
      <c r="I37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2">
        <v>2</v>
      </c>
      <c r="K37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2">
        <v>1</v>
      </c>
    </row>
    <row r="373" spans="1:12" hidden="1" x14ac:dyDescent="0.3">
      <c r="A373" s="9">
        <v>45870</v>
      </c>
      <c r="B373" s="3" t="s">
        <v>103</v>
      </c>
      <c r="C373" s="10">
        <v>2000</v>
      </c>
      <c r="D373" t="s">
        <v>27</v>
      </c>
      <c r="E373" t="s">
        <v>95</v>
      </c>
      <c r="F373" t="s">
        <v>132</v>
      </c>
      <c r="G373"/>
      <c r="H373" s="11"/>
      <c r="I37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3">
        <v>2</v>
      </c>
      <c r="K37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3">
        <v>1</v>
      </c>
    </row>
    <row r="374" spans="1:12" hidden="1" x14ac:dyDescent="0.3">
      <c r="A374" s="9">
        <v>45870</v>
      </c>
      <c r="B374" s="3" t="s">
        <v>104</v>
      </c>
      <c r="C374" s="10">
        <v>3391</v>
      </c>
      <c r="D374" t="s">
        <v>27</v>
      </c>
      <c r="E374" t="s">
        <v>95</v>
      </c>
      <c r="F374" t="s">
        <v>132</v>
      </c>
      <c r="G374"/>
      <c r="H374" s="11"/>
      <c r="I37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4">
        <v>2</v>
      </c>
      <c r="K37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4">
        <v>1</v>
      </c>
    </row>
    <row r="375" spans="1:12" hidden="1" x14ac:dyDescent="0.3">
      <c r="A375" s="9">
        <v>45870</v>
      </c>
      <c r="B375" s="3" t="s">
        <v>96</v>
      </c>
      <c r="C375" s="10">
        <v>1904</v>
      </c>
      <c r="D375" t="s">
        <v>27</v>
      </c>
      <c r="E375" t="s">
        <v>95</v>
      </c>
      <c r="F375" t="s">
        <v>132</v>
      </c>
      <c r="G375"/>
      <c r="H375" s="11"/>
      <c r="I37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5">
        <v>2</v>
      </c>
      <c r="K37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5">
        <v>1</v>
      </c>
    </row>
    <row r="376" spans="1:12" hidden="1" x14ac:dyDescent="0.3">
      <c r="A376" s="9">
        <v>45870</v>
      </c>
      <c r="B376" s="3" t="s">
        <v>143</v>
      </c>
      <c r="C376" s="10">
        <v>10800</v>
      </c>
      <c r="D376" t="s">
        <v>27</v>
      </c>
      <c r="E376" t="s">
        <v>95</v>
      </c>
      <c r="F376" t="s">
        <v>132</v>
      </c>
      <c r="G376"/>
      <c r="H376" s="11"/>
      <c r="I37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6">
        <v>2</v>
      </c>
      <c r="K37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6">
        <v>1</v>
      </c>
    </row>
    <row r="377" spans="1:12" hidden="1" x14ac:dyDescent="0.3">
      <c r="A377" s="9">
        <v>45870</v>
      </c>
      <c r="B377" s="35" t="s">
        <v>146</v>
      </c>
      <c r="C377" s="10">
        <v>333045</v>
      </c>
      <c r="D377" t="s">
        <v>146</v>
      </c>
      <c r="E377" t="s">
        <v>95</v>
      </c>
      <c r="F377" t="s">
        <v>137</v>
      </c>
      <c r="G377">
        <v>48</v>
      </c>
      <c r="H377" s="11">
        <v>1</v>
      </c>
      <c r="I37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7">
        <v>2</v>
      </c>
      <c r="K37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7">
        <v>1</v>
      </c>
    </row>
    <row r="378" spans="1:12" hidden="1" x14ac:dyDescent="0.3">
      <c r="A378" s="9">
        <v>45870</v>
      </c>
      <c r="B378" s="35" t="s">
        <v>147</v>
      </c>
      <c r="C378" s="10">
        <v>70000</v>
      </c>
      <c r="D378" t="s">
        <v>146</v>
      </c>
      <c r="E378" t="s">
        <v>95</v>
      </c>
      <c r="F378" t="s">
        <v>132</v>
      </c>
      <c r="G378"/>
      <c r="H378" s="11"/>
      <c r="I37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8">
        <v>2</v>
      </c>
      <c r="K37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8">
        <v>1</v>
      </c>
    </row>
    <row r="379" spans="1:12" hidden="1" x14ac:dyDescent="0.3">
      <c r="A379" s="9">
        <v>45870</v>
      </c>
      <c r="B379" s="35" t="s">
        <v>148</v>
      </c>
      <c r="C379" s="10">
        <v>74674</v>
      </c>
      <c r="D379" t="s">
        <v>146</v>
      </c>
      <c r="E379" t="s">
        <v>95</v>
      </c>
      <c r="F379" t="s">
        <v>132</v>
      </c>
      <c r="G379"/>
      <c r="H379" s="11"/>
      <c r="I37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79">
        <v>2</v>
      </c>
      <c r="K37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79">
        <v>1</v>
      </c>
    </row>
    <row r="380" spans="1:12" hidden="1" x14ac:dyDescent="0.3">
      <c r="A380" s="9">
        <v>45901</v>
      </c>
      <c r="B380" s="3" t="s">
        <v>134</v>
      </c>
      <c r="C380" s="10">
        <v>240000</v>
      </c>
      <c r="D380" t="s">
        <v>52</v>
      </c>
      <c r="E380" t="s">
        <v>95</v>
      </c>
      <c r="F380" t="s">
        <v>132</v>
      </c>
      <c r="G380"/>
      <c r="H380" s="11"/>
      <c r="I38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80">
        <v>2</v>
      </c>
      <c r="K38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0">
        <v>1</v>
      </c>
    </row>
    <row r="381" spans="1:12" hidden="1" x14ac:dyDescent="0.3">
      <c r="A381" s="9">
        <v>45901</v>
      </c>
      <c r="B381" s="3" t="s">
        <v>129</v>
      </c>
      <c r="C381" s="10">
        <v>150000</v>
      </c>
      <c r="D381" t="s">
        <v>52</v>
      </c>
      <c r="E381" t="s">
        <v>95</v>
      </c>
      <c r="F381" t="s">
        <v>132</v>
      </c>
      <c r="G381"/>
      <c r="H381" s="11"/>
      <c r="I3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81">
        <v>2</v>
      </c>
      <c r="K38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1">
        <v>1</v>
      </c>
    </row>
    <row r="382" spans="1:12" hidden="1" x14ac:dyDescent="0.3">
      <c r="A382" s="9">
        <v>45901</v>
      </c>
      <c r="B382" s="3" t="s">
        <v>122</v>
      </c>
      <c r="C382" s="10">
        <v>43000</v>
      </c>
      <c r="D382" t="s">
        <v>118</v>
      </c>
      <c r="E382" t="s">
        <v>95</v>
      </c>
      <c r="F382" t="s">
        <v>137</v>
      </c>
      <c r="G382">
        <v>12</v>
      </c>
      <c r="H382" s="11">
        <v>6</v>
      </c>
      <c r="I38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82">
        <v>2</v>
      </c>
      <c r="K38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2">
        <v>1</v>
      </c>
    </row>
    <row r="383" spans="1:12" hidden="1" x14ac:dyDescent="0.3">
      <c r="A383" s="9">
        <v>45901</v>
      </c>
      <c r="B383" s="3" t="s">
        <v>139</v>
      </c>
      <c r="C383" s="10">
        <v>22498</v>
      </c>
      <c r="D383" t="s">
        <v>118</v>
      </c>
      <c r="E383" t="s">
        <v>95</v>
      </c>
      <c r="F383" t="s">
        <v>137</v>
      </c>
      <c r="G383">
        <v>9</v>
      </c>
      <c r="H383" s="11">
        <v>5</v>
      </c>
      <c r="I38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83">
        <v>2</v>
      </c>
      <c r="K38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3">
        <v>1</v>
      </c>
    </row>
    <row r="384" spans="1:12" hidden="1" x14ac:dyDescent="0.3">
      <c r="A384" s="9">
        <v>45901</v>
      </c>
      <c r="B384" s="3" t="s">
        <v>149</v>
      </c>
      <c r="C384" s="10">
        <v>14200</v>
      </c>
      <c r="D384" t="s">
        <v>118</v>
      </c>
      <c r="E384" t="s">
        <v>95</v>
      </c>
      <c r="F384" t="s">
        <v>132</v>
      </c>
      <c r="I38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84">
        <v>2</v>
      </c>
      <c r="K38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84">
        <v>1</v>
      </c>
    </row>
    <row r="385" spans="1:12" hidden="1" x14ac:dyDescent="0.3">
      <c r="A385" s="9">
        <v>45901</v>
      </c>
      <c r="B385" s="3" t="s">
        <v>18</v>
      </c>
      <c r="C385" s="10">
        <v>90000</v>
      </c>
      <c r="D385" t="s">
        <v>19</v>
      </c>
      <c r="E385" t="s">
        <v>95</v>
      </c>
      <c r="F385" t="s">
        <v>132</v>
      </c>
      <c r="G385"/>
      <c r="H385" s="11"/>
      <c r="I38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85">
        <v>1</v>
      </c>
      <c r="K38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85">
        <v>2</v>
      </c>
    </row>
    <row r="386" spans="1:12" hidden="1" x14ac:dyDescent="0.3">
      <c r="A386" s="9">
        <v>45901</v>
      </c>
      <c r="B386" s="3" t="s">
        <v>133</v>
      </c>
      <c r="C386" s="10">
        <v>155322</v>
      </c>
      <c r="D386" t="s">
        <v>19</v>
      </c>
      <c r="E386" t="s">
        <v>95</v>
      </c>
      <c r="F386" t="s">
        <v>132</v>
      </c>
      <c r="G386"/>
      <c r="H386" s="11"/>
      <c r="I38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86">
        <v>1</v>
      </c>
      <c r="K38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86">
        <v>2</v>
      </c>
    </row>
    <row r="387" spans="1:12" hidden="1" x14ac:dyDescent="0.3">
      <c r="A387" s="9">
        <v>45901</v>
      </c>
      <c r="B387" s="2" t="s">
        <v>34</v>
      </c>
      <c r="C387" s="10">
        <v>2244183.33</v>
      </c>
      <c r="D387" t="s">
        <v>35</v>
      </c>
      <c r="E387" t="s">
        <v>35</v>
      </c>
      <c r="F387" t="s">
        <v>135</v>
      </c>
      <c r="G387"/>
      <c r="H387" s="11"/>
      <c r="I387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87">
        <v>4</v>
      </c>
      <c r="K387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87">
        <v>4</v>
      </c>
    </row>
    <row r="388" spans="1:12" hidden="1" x14ac:dyDescent="0.3">
      <c r="A388" s="9">
        <v>45901</v>
      </c>
      <c r="B388" s="2" t="s">
        <v>36</v>
      </c>
      <c r="C388" s="10">
        <v>81645</v>
      </c>
      <c r="D388" t="s">
        <v>35</v>
      </c>
      <c r="E388" t="s">
        <v>35</v>
      </c>
      <c r="F388" t="s">
        <v>135</v>
      </c>
      <c r="G388"/>
      <c r="H388" s="11"/>
      <c r="I388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388">
        <v>4</v>
      </c>
      <c r="K388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388">
        <v>4</v>
      </c>
    </row>
    <row r="389" spans="1:12" hidden="1" x14ac:dyDescent="0.3">
      <c r="A389" s="9">
        <v>45901</v>
      </c>
      <c r="B389" s="3" t="s">
        <v>86</v>
      </c>
      <c r="C389" s="10">
        <v>158900</v>
      </c>
      <c r="D389" t="s">
        <v>16</v>
      </c>
      <c r="E389" t="s">
        <v>95</v>
      </c>
      <c r="F389" t="s">
        <v>132</v>
      </c>
      <c r="G389"/>
      <c r="H389" s="11"/>
      <c r="I38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89">
        <v>1</v>
      </c>
      <c r="K38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89">
        <v>2</v>
      </c>
    </row>
    <row r="390" spans="1:12" hidden="1" x14ac:dyDescent="0.3">
      <c r="A390" s="9">
        <v>45901</v>
      </c>
      <c r="B390" s="3" t="s">
        <v>94</v>
      </c>
      <c r="C390" s="10">
        <v>43000</v>
      </c>
      <c r="D390" t="s">
        <v>16</v>
      </c>
      <c r="E390" t="s">
        <v>95</v>
      </c>
      <c r="F390" t="s">
        <v>132</v>
      </c>
      <c r="G390"/>
      <c r="H390" s="11"/>
      <c r="I39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90">
        <v>2</v>
      </c>
      <c r="K39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0">
        <v>1</v>
      </c>
    </row>
    <row r="391" spans="1:12" hidden="1" x14ac:dyDescent="0.3">
      <c r="A391" s="9">
        <v>45901</v>
      </c>
      <c r="B391" s="3" t="s">
        <v>128</v>
      </c>
      <c r="C391" s="10">
        <v>0</v>
      </c>
      <c r="D391" t="s">
        <v>16</v>
      </c>
      <c r="E391" t="s">
        <v>95</v>
      </c>
      <c r="F391" t="s">
        <v>132</v>
      </c>
      <c r="G391"/>
      <c r="H391" s="11"/>
      <c r="I39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91">
        <v>1</v>
      </c>
      <c r="K39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1">
        <v>1</v>
      </c>
    </row>
    <row r="392" spans="1:12" hidden="1" x14ac:dyDescent="0.3">
      <c r="A392" s="9">
        <v>45901</v>
      </c>
      <c r="B392" s="3" t="s">
        <v>131</v>
      </c>
      <c r="C392" s="10">
        <v>70000</v>
      </c>
      <c r="D392" t="s">
        <v>16</v>
      </c>
      <c r="E392" t="s">
        <v>95</v>
      </c>
      <c r="F392" t="s">
        <v>137</v>
      </c>
      <c r="G392">
        <v>12</v>
      </c>
      <c r="H392" s="11">
        <v>4</v>
      </c>
      <c r="I39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92">
        <v>2</v>
      </c>
      <c r="K39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2">
        <v>1</v>
      </c>
    </row>
    <row r="393" spans="1:12" hidden="1" x14ac:dyDescent="0.3">
      <c r="A393" s="9">
        <v>45901</v>
      </c>
      <c r="B393" s="3" t="s">
        <v>97</v>
      </c>
      <c r="C393" s="10">
        <v>90000</v>
      </c>
      <c r="D393" t="s">
        <v>97</v>
      </c>
      <c r="E393" t="s">
        <v>95</v>
      </c>
      <c r="F393" t="s">
        <v>132</v>
      </c>
      <c r="G393"/>
      <c r="H393" s="11"/>
      <c r="I39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93">
        <v>2</v>
      </c>
      <c r="K39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3">
        <v>1</v>
      </c>
    </row>
    <row r="394" spans="1:12" hidden="1" x14ac:dyDescent="0.3">
      <c r="A394" s="9">
        <v>45901</v>
      </c>
      <c r="B394" s="3" t="s">
        <v>150</v>
      </c>
      <c r="C394" s="10">
        <v>50000</v>
      </c>
      <c r="D394" t="s">
        <v>38</v>
      </c>
      <c r="E394" t="s">
        <v>95</v>
      </c>
      <c r="F394" t="s">
        <v>132</v>
      </c>
      <c r="G394"/>
      <c r="H394" s="11"/>
      <c r="I39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94">
        <v>1</v>
      </c>
      <c r="K39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94">
        <v>2</v>
      </c>
    </row>
    <row r="395" spans="1:12" hidden="1" x14ac:dyDescent="0.3">
      <c r="A395" s="9">
        <v>45901</v>
      </c>
      <c r="B395" s="3" t="s">
        <v>37</v>
      </c>
      <c r="C395" s="10">
        <v>30000</v>
      </c>
      <c r="D395" t="s">
        <v>38</v>
      </c>
      <c r="E395" t="s">
        <v>95</v>
      </c>
      <c r="F395" t="s">
        <v>132</v>
      </c>
      <c r="G395"/>
      <c r="H395" s="11"/>
      <c r="I39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95">
        <v>1</v>
      </c>
      <c r="K39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95">
        <v>2</v>
      </c>
    </row>
    <row r="396" spans="1:12" hidden="1" x14ac:dyDescent="0.3">
      <c r="A396" s="9">
        <v>45901</v>
      </c>
      <c r="B396" s="3" t="s">
        <v>130</v>
      </c>
      <c r="C396" s="10">
        <v>39000</v>
      </c>
      <c r="D396" t="s">
        <v>38</v>
      </c>
      <c r="E396" t="s">
        <v>95</v>
      </c>
      <c r="F396" t="s">
        <v>132</v>
      </c>
      <c r="G396"/>
      <c r="H396" s="11"/>
      <c r="I39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96">
        <v>2</v>
      </c>
      <c r="K39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6">
        <v>1</v>
      </c>
    </row>
    <row r="397" spans="1:12" hidden="1" x14ac:dyDescent="0.3">
      <c r="A397" s="9">
        <v>45901</v>
      </c>
      <c r="B397" s="3" t="s">
        <v>141</v>
      </c>
      <c r="C397" s="10">
        <v>116926</v>
      </c>
      <c r="D397" t="s">
        <v>38</v>
      </c>
      <c r="E397" t="s">
        <v>95</v>
      </c>
      <c r="F397" t="s">
        <v>132</v>
      </c>
      <c r="G397"/>
      <c r="H397" s="11"/>
      <c r="I39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397">
        <v>2</v>
      </c>
      <c r="K39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397">
        <v>1</v>
      </c>
    </row>
    <row r="398" spans="1:12" hidden="1" x14ac:dyDescent="0.3">
      <c r="A398" s="9">
        <v>45901</v>
      </c>
      <c r="B398" s="3" t="s">
        <v>98</v>
      </c>
      <c r="C398" s="10">
        <v>10000</v>
      </c>
      <c r="D398" t="s">
        <v>23</v>
      </c>
      <c r="E398" t="s">
        <v>95</v>
      </c>
      <c r="F398" t="s">
        <v>132</v>
      </c>
      <c r="G398"/>
      <c r="H398" s="11"/>
      <c r="I39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98">
        <v>1</v>
      </c>
      <c r="K39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98">
        <v>2</v>
      </c>
    </row>
    <row r="399" spans="1:12" hidden="1" x14ac:dyDescent="0.3">
      <c r="A399" s="9">
        <v>45901</v>
      </c>
      <c r="B399" s="3" t="s">
        <v>100</v>
      </c>
      <c r="C399" s="10">
        <v>15500</v>
      </c>
      <c r="D399" t="s">
        <v>23</v>
      </c>
      <c r="E399" t="s">
        <v>95</v>
      </c>
      <c r="F399" t="s">
        <v>132</v>
      </c>
      <c r="G399"/>
      <c r="H399" s="11"/>
      <c r="I39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399">
        <v>1</v>
      </c>
      <c r="K39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399">
        <v>2</v>
      </c>
    </row>
    <row r="400" spans="1:12" hidden="1" x14ac:dyDescent="0.3">
      <c r="A400" s="9">
        <v>45901</v>
      </c>
      <c r="B400" s="3" t="s">
        <v>102</v>
      </c>
      <c r="C400" s="10">
        <v>9122</v>
      </c>
      <c r="D400" t="s">
        <v>27</v>
      </c>
      <c r="E400" t="s">
        <v>95</v>
      </c>
      <c r="F400" t="s">
        <v>132</v>
      </c>
      <c r="G400"/>
      <c r="H400" s="11"/>
      <c r="I40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0">
        <v>2</v>
      </c>
      <c r="K40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0">
        <v>1</v>
      </c>
    </row>
    <row r="401" spans="1:12" hidden="1" x14ac:dyDescent="0.3">
      <c r="A401" s="9">
        <v>45901</v>
      </c>
      <c r="B401" s="3" t="s">
        <v>103</v>
      </c>
      <c r="C401" s="10">
        <v>2000</v>
      </c>
      <c r="D401" t="s">
        <v>27</v>
      </c>
      <c r="E401" t="s">
        <v>95</v>
      </c>
      <c r="F401" t="s">
        <v>132</v>
      </c>
      <c r="G401"/>
      <c r="H401" s="11"/>
      <c r="I40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1">
        <v>2</v>
      </c>
      <c r="K40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1">
        <v>1</v>
      </c>
    </row>
    <row r="402" spans="1:12" hidden="1" x14ac:dyDescent="0.3">
      <c r="A402" s="9">
        <v>45901</v>
      </c>
      <c r="B402" s="3" t="s">
        <v>104</v>
      </c>
      <c r="C402" s="10">
        <v>3391</v>
      </c>
      <c r="D402" t="s">
        <v>27</v>
      </c>
      <c r="E402" t="s">
        <v>95</v>
      </c>
      <c r="F402" t="s">
        <v>132</v>
      </c>
      <c r="G402"/>
      <c r="H402" s="11"/>
      <c r="I40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2">
        <v>2</v>
      </c>
      <c r="K40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2">
        <v>1</v>
      </c>
    </row>
    <row r="403" spans="1:12" hidden="1" x14ac:dyDescent="0.3">
      <c r="A403" s="9">
        <v>45901</v>
      </c>
      <c r="B403" s="3" t="s">
        <v>96</v>
      </c>
      <c r="C403" s="10">
        <v>1904</v>
      </c>
      <c r="D403" t="s">
        <v>27</v>
      </c>
      <c r="E403" t="s">
        <v>95</v>
      </c>
      <c r="F403" t="s">
        <v>132</v>
      </c>
      <c r="G403"/>
      <c r="H403" s="11"/>
      <c r="I40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3">
        <v>2</v>
      </c>
      <c r="K40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3">
        <v>1</v>
      </c>
    </row>
    <row r="404" spans="1:12" hidden="1" x14ac:dyDescent="0.3">
      <c r="A404" s="9">
        <v>45901</v>
      </c>
      <c r="B404" s="3" t="s">
        <v>151</v>
      </c>
      <c r="C404" s="10">
        <v>21000</v>
      </c>
      <c r="D404" t="s">
        <v>27</v>
      </c>
      <c r="E404" t="s">
        <v>95</v>
      </c>
      <c r="F404" t="s">
        <v>132</v>
      </c>
      <c r="G404"/>
      <c r="H404" s="11"/>
      <c r="I40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4">
        <v>2</v>
      </c>
      <c r="K40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4">
        <v>1</v>
      </c>
    </row>
    <row r="405" spans="1:12" hidden="1" x14ac:dyDescent="0.3">
      <c r="A405" s="9">
        <v>45901</v>
      </c>
      <c r="B405" s="3" t="s">
        <v>143</v>
      </c>
      <c r="C405" s="10">
        <v>10800</v>
      </c>
      <c r="D405" t="s">
        <v>27</v>
      </c>
      <c r="E405" t="s">
        <v>95</v>
      </c>
      <c r="F405" t="s">
        <v>132</v>
      </c>
      <c r="G405"/>
      <c r="H405" s="11"/>
      <c r="I4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5">
        <v>2</v>
      </c>
      <c r="K4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5">
        <v>1</v>
      </c>
    </row>
    <row r="406" spans="1:12" hidden="1" x14ac:dyDescent="0.3">
      <c r="A406" s="9">
        <v>45901</v>
      </c>
      <c r="B406" s="35" t="s">
        <v>146</v>
      </c>
      <c r="C406" s="10">
        <v>333045</v>
      </c>
      <c r="D406" t="s">
        <v>146</v>
      </c>
      <c r="E406" t="s">
        <v>95</v>
      </c>
      <c r="F406" t="s">
        <v>137</v>
      </c>
      <c r="G406">
        <v>48</v>
      </c>
      <c r="H406" s="11">
        <v>1</v>
      </c>
      <c r="I40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6">
        <v>2</v>
      </c>
      <c r="K40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6">
        <v>1</v>
      </c>
    </row>
    <row r="407" spans="1:12" hidden="1" x14ac:dyDescent="0.3">
      <c r="A407" s="9">
        <v>45901</v>
      </c>
      <c r="B407" s="35" t="s">
        <v>147</v>
      </c>
      <c r="C407" s="10">
        <v>70000</v>
      </c>
      <c r="D407" t="s">
        <v>146</v>
      </c>
      <c r="E407" t="s">
        <v>95</v>
      </c>
      <c r="F407" t="s">
        <v>132</v>
      </c>
      <c r="G407"/>
      <c r="H407" s="11"/>
      <c r="I40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7">
        <v>2</v>
      </c>
      <c r="K40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7">
        <v>1</v>
      </c>
    </row>
    <row r="408" spans="1:12" hidden="1" x14ac:dyDescent="0.3">
      <c r="A408" s="9">
        <v>45901</v>
      </c>
      <c r="B408" s="35" t="s">
        <v>148</v>
      </c>
      <c r="C408" s="10">
        <v>74674</v>
      </c>
      <c r="D408" t="s">
        <v>146</v>
      </c>
      <c r="E408" t="s">
        <v>95</v>
      </c>
      <c r="F408" t="s">
        <v>132</v>
      </c>
      <c r="G408"/>
      <c r="H408" s="11"/>
      <c r="I40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08">
        <v>2</v>
      </c>
      <c r="K40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08">
        <v>1</v>
      </c>
    </row>
    <row r="409" spans="1:12" hidden="1" x14ac:dyDescent="0.3">
      <c r="A409" s="9">
        <v>45931</v>
      </c>
      <c r="B409" s="3" t="s">
        <v>34</v>
      </c>
      <c r="C409" s="10">
        <v>2189000</v>
      </c>
      <c r="D409" t="s">
        <v>35</v>
      </c>
      <c r="E409" t="s">
        <v>35</v>
      </c>
      <c r="F409" t="s">
        <v>135</v>
      </c>
      <c r="G409"/>
      <c r="H409" s="11"/>
      <c r="I409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09">
        <v>4</v>
      </c>
      <c r="K409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09">
        <v>4</v>
      </c>
    </row>
    <row r="410" spans="1:12" hidden="1" x14ac:dyDescent="0.3">
      <c r="A410" s="9">
        <v>45931</v>
      </c>
      <c r="B410" s="3" t="s">
        <v>36</v>
      </c>
      <c r="C410" s="10">
        <v>81645</v>
      </c>
      <c r="D410" t="s">
        <v>35</v>
      </c>
      <c r="E410" t="s">
        <v>35</v>
      </c>
      <c r="F410" t="s">
        <v>135</v>
      </c>
      <c r="G410"/>
      <c r="H410" s="11"/>
      <c r="I41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10">
        <v>4</v>
      </c>
      <c r="K41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10">
        <v>4</v>
      </c>
    </row>
    <row r="411" spans="1:12" hidden="1" x14ac:dyDescent="0.3">
      <c r="A411" s="9">
        <v>45931</v>
      </c>
      <c r="B411" s="35" t="s">
        <v>152</v>
      </c>
      <c r="C411" s="10">
        <v>160920</v>
      </c>
      <c r="D411" t="s">
        <v>146</v>
      </c>
      <c r="E411" t="s">
        <v>95</v>
      </c>
      <c r="F411" t="s">
        <v>137</v>
      </c>
      <c r="G411">
        <v>12</v>
      </c>
      <c r="H411" s="11">
        <v>2</v>
      </c>
      <c r="I4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1">
        <v>2</v>
      </c>
      <c r="K4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1">
        <v>1</v>
      </c>
    </row>
    <row r="412" spans="1:12" hidden="1" x14ac:dyDescent="0.3">
      <c r="A412" s="9">
        <v>45931</v>
      </c>
      <c r="B412" s="35" t="s">
        <v>146</v>
      </c>
      <c r="C412" s="10">
        <v>333045</v>
      </c>
      <c r="D412" t="s">
        <v>146</v>
      </c>
      <c r="E412" t="s">
        <v>95</v>
      </c>
      <c r="F412" t="s">
        <v>137</v>
      </c>
      <c r="G412">
        <v>48</v>
      </c>
      <c r="H412" s="11">
        <v>2</v>
      </c>
      <c r="I41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2">
        <v>2</v>
      </c>
      <c r="K4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2">
        <v>1</v>
      </c>
    </row>
    <row r="413" spans="1:12" hidden="1" x14ac:dyDescent="0.3">
      <c r="A413" s="9">
        <v>45931</v>
      </c>
      <c r="B413" s="35" t="s">
        <v>147</v>
      </c>
      <c r="C413" s="10">
        <v>70000</v>
      </c>
      <c r="D413" t="s">
        <v>146</v>
      </c>
      <c r="E413" t="s">
        <v>95</v>
      </c>
      <c r="F413" t="s">
        <v>132</v>
      </c>
      <c r="G413"/>
      <c r="H413" s="11"/>
      <c r="I41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3">
        <v>2</v>
      </c>
      <c r="K41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3">
        <v>1</v>
      </c>
    </row>
    <row r="414" spans="1:12" hidden="1" x14ac:dyDescent="0.3">
      <c r="A414" s="9">
        <v>45931</v>
      </c>
      <c r="B414" s="35" t="s">
        <v>148</v>
      </c>
      <c r="C414" s="10">
        <v>74674</v>
      </c>
      <c r="D414" t="s">
        <v>146</v>
      </c>
      <c r="E414" t="s">
        <v>95</v>
      </c>
      <c r="F414" t="s">
        <v>132</v>
      </c>
      <c r="G414"/>
      <c r="H414" s="11"/>
      <c r="I41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4">
        <v>2</v>
      </c>
      <c r="K41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4">
        <v>1</v>
      </c>
    </row>
    <row r="415" spans="1:12" hidden="1" x14ac:dyDescent="0.3">
      <c r="A415" s="9">
        <v>45931</v>
      </c>
      <c r="B415" s="3" t="s">
        <v>134</v>
      </c>
      <c r="C415" s="10">
        <v>240000</v>
      </c>
      <c r="D415" t="s">
        <v>52</v>
      </c>
      <c r="E415" t="s">
        <v>95</v>
      </c>
      <c r="F415" t="s">
        <v>132</v>
      </c>
      <c r="G415"/>
      <c r="H415" s="11"/>
      <c r="I41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5">
        <v>2</v>
      </c>
      <c r="K41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15">
        <v>3</v>
      </c>
    </row>
    <row r="416" spans="1:12" hidden="1" x14ac:dyDescent="0.3">
      <c r="A416" s="9">
        <v>45931</v>
      </c>
      <c r="B416" s="3" t="s">
        <v>129</v>
      </c>
      <c r="C416" s="10">
        <v>150000</v>
      </c>
      <c r="D416" t="s">
        <v>52</v>
      </c>
      <c r="E416" t="s">
        <v>95</v>
      </c>
      <c r="F416" t="s">
        <v>132</v>
      </c>
      <c r="G416"/>
      <c r="H416" s="11"/>
      <c r="I41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6">
        <v>2</v>
      </c>
      <c r="K41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16">
        <v>3</v>
      </c>
    </row>
    <row r="417" spans="1:12" hidden="1" x14ac:dyDescent="0.3">
      <c r="A417" s="9">
        <v>45931</v>
      </c>
      <c r="B417" s="3" t="s">
        <v>122</v>
      </c>
      <c r="C417" s="10">
        <v>43000</v>
      </c>
      <c r="D417" t="s">
        <v>118</v>
      </c>
      <c r="E417" t="s">
        <v>95</v>
      </c>
      <c r="F417" t="s">
        <v>137</v>
      </c>
      <c r="G417">
        <v>12</v>
      </c>
      <c r="H417" s="11">
        <v>7</v>
      </c>
      <c r="I41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7">
        <v>2</v>
      </c>
      <c r="K41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7">
        <v>1</v>
      </c>
    </row>
    <row r="418" spans="1:12" hidden="1" x14ac:dyDescent="0.3">
      <c r="A418" s="9">
        <v>45931</v>
      </c>
      <c r="B418" s="3" t="s">
        <v>139</v>
      </c>
      <c r="C418" s="10">
        <v>22498</v>
      </c>
      <c r="D418" t="s">
        <v>118</v>
      </c>
      <c r="E418" t="s">
        <v>95</v>
      </c>
      <c r="F418" t="s">
        <v>137</v>
      </c>
      <c r="G418">
        <v>9</v>
      </c>
      <c r="H418" s="11">
        <v>6</v>
      </c>
      <c r="I41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8">
        <v>2</v>
      </c>
      <c r="K41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8">
        <v>1</v>
      </c>
    </row>
    <row r="419" spans="1:12" hidden="1" x14ac:dyDescent="0.3">
      <c r="A419" s="9">
        <v>45931</v>
      </c>
      <c r="B419" s="3" t="s">
        <v>149</v>
      </c>
      <c r="C419" s="10">
        <v>14200</v>
      </c>
      <c r="D419" t="s">
        <v>118</v>
      </c>
      <c r="E419" t="s">
        <v>95</v>
      </c>
      <c r="F419" t="s">
        <v>132</v>
      </c>
      <c r="G419" s="11">
        <v>3</v>
      </c>
      <c r="H419">
        <v>2</v>
      </c>
      <c r="I41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19">
        <v>2</v>
      </c>
      <c r="K41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19">
        <v>1</v>
      </c>
    </row>
    <row r="420" spans="1:12" hidden="1" x14ac:dyDescent="0.3">
      <c r="A420" s="9">
        <v>45931</v>
      </c>
      <c r="B420" s="3" t="s">
        <v>153</v>
      </c>
      <c r="C420" s="10">
        <v>43244</v>
      </c>
      <c r="D420" t="s">
        <v>118</v>
      </c>
      <c r="E420" t="s">
        <v>95</v>
      </c>
      <c r="F420" t="s">
        <v>132</v>
      </c>
      <c r="G420" s="11">
        <v>12</v>
      </c>
      <c r="H420">
        <v>1</v>
      </c>
      <c r="I42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0">
        <v>2</v>
      </c>
      <c r="K42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0">
        <v>1</v>
      </c>
    </row>
    <row r="421" spans="1:12" hidden="1" x14ac:dyDescent="0.3">
      <c r="A421" s="9">
        <v>45931</v>
      </c>
      <c r="B421" s="3" t="s">
        <v>94</v>
      </c>
      <c r="C421" s="10">
        <v>43000</v>
      </c>
      <c r="D421" t="s">
        <v>16</v>
      </c>
      <c r="E421" t="s">
        <v>95</v>
      </c>
      <c r="F421" t="s">
        <v>132</v>
      </c>
      <c r="G421"/>
      <c r="H421" s="11"/>
      <c r="I42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1">
        <v>2</v>
      </c>
      <c r="K42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1">
        <v>1</v>
      </c>
    </row>
    <row r="422" spans="1:12" hidden="1" x14ac:dyDescent="0.3">
      <c r="A422" s="9">
        <v>45931</v>
      </c>
      <c r="B422" s="3" t="s">
        <v>131</v>
      </c>
      <c r="C422" s="10">
        <v>70000</v>
      </c>
      <c r="D422" t="s">
        <v>16</v>
      </c>
      <c r="E422" t="s">
        <v>95</v>
      </c>
      <c r="F422" t="s">
        <v>137</v>
      </c>
      <c r="G422">
        <v>12</v>
      </c>
      <c r="H422" s="11">
        <v>5</v>
      </c>
      <c r="I4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2">
        <v>2</v>
      </c>
      <c r="K42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2">
        <v>1</v>
      </c>
    </row>
    <row r="423" spans="1:12" hidden="1" x14ac:dyDescent="0.3">
      <c r="A423" s="9">
        <v>45931</v>
      </c>
      <c r="B423" s="3" t="s">
        <v>97</v>
      </c>
      <c r="C423" s="10">
        <v>90000</v>
      </c>
      <c r="D423" t="s">
        <v>97</v>
      </c>
      <c r="E423" t="s">
        <v>95</v>
      </c>
      <c r="F423" t="s">
        <v>132</v>
      </c>
      <c r="G423"/>
      <c r="H423" s="11"/>
      <c r="I42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3">
        <v>2</v>
      </c>
      <c r="K42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23">
        <v>3</v>
      </c>
    </row>
    <row r="424" spans="1:12" hidden="1" x14ac:dyDescent="0.3">
      <c r="A424" s="9">
        <v>45931</v>
      </c>
      <c r="B424" s="3" t="s">
        <v>130</v>
      </c>
      <c r="C424" s="10">
        <v>74000</v>
      </c>
      <c r="D424" t="s">
        <v>38</v>
      </c>
      <c r="E424" t="s">
        <v>95</v>
      </c>
      <c r="F424" t="s">
        <v>132</v>
      </c>
      <c r="G424"/>
      <c r="H424" s="11"/>
      <c r="I42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4">
        <v>2</v>
      </c>
      <c r="K42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4">
        <v>1</v>
      </c>
    </row>
    <row r="425" spans="1:12" hidden="1" x14ac:dyDescent="0.3">
      <c r="A425" s="9">
        <v>45931</v>
      </c>
      <c r="B425" s="3" t="s">
        <v>141</v>
      </c>
      <c r="C425" s="10">
        <v>116926</v>
      </c>
      <c r="D425" t="s">
        <v>38</v>
      </c>
      <c r="E425" t="s">
        <v>95</v>
      </c>
      <c r="F425" t="s">
        <v>132</v>
      </c>
      <c r="G425"/>
      <c r="H425" s="11"/>
      <c r="I42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5">
        <v>2</v>
      </c>
      <c r="K42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25">
        <v>1</v>
      </c>
    </row>
    <row r="426" spans="1:12" hidden="1" x14ac:dyDescent="0.3">
      <c r="A426" s="9">
        <v>45931</v>
      </c>
      <c r="B426" s="3" t="s">
        <v>102</v>
      </c>
      <c r="C426" s="10">
        <v>9122</v>
      </c>
      <c r="D426" t="s">
        <v>27</v>
      </c>
      <c r="E426" t="s">
        <v>95</v>
      </c>
      <c r="F426" t="s">
        <v>132</v>
      </c>
      <c r="G426"/>
      <c r="H426" s="11"/>
      <c r="I42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6">
        <v>2</v>
      </c>
      <c r="K42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26">
        <v>3</v>
      </c>
    </row>
    <row r="427" spans="1:12" hidden="1" x14ac:dyDescent="0.3">
      <c r="A427" s="9">
        <v>45931</v>
      </c>
      <c r="B427" s="3" t="s">
        <v>103</v>
      </c>
      <c r="C427" s="10">
        <v>2000</v>
      </c>
      <c r="D427" t="s">
        <v>27</v>
      </c>
      <c r="E427" t="s">
        <v>95</v>
      </c>
      <c r="F427" t="s">
        <v>132</v>
      </c>
      <c r="G427"/>
      <c r="H427" s="11"/>
      <c r="I42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7">
        <v>2</v>
      </c>
      <c r="K42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27">
        <v>3</v>
      </c>
    </row>
    <row r="428" spans="1:12" hidden="1" x14ac:dyDescent="0.3">
      <c r="A428" s="9">
        <v>45931</v>
      </c>
      <c r="B428" s="3" t="s">
        <v>104</v>
      </c>
      <c r="C428" s="10">
        <v>3391</v>
      </c>
      <c r="D428" t="s">
        <v>27</v>
      </c>
      <c r="E428" t="s">
        <v>95</v>
      </c>
      <c r="F428" t="s">
        <v>132</v>
      </c>
      <c r="G428"/>
      <c r="H428" s="11"/>
      <c r="I42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8">
        <v>2</v>
      </c>
      <c r="K42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28">
        <v>3</v>
      </c>
    </row>
    <row r="429" spans="1:12" hidden="1" x14ac:dyDescent="0.3">
      <c r="A429" s="9">
        <v>45931</v>
      </c>
      <c r="B429" s="3" t="s">
        <v>96</v>
      </c>
      <c r="C429" s="10">
        <v>1904</v>
      </c>
      <c r="D429" t="s">
        <v>27</v>
      </c>
      <c r="E429" t="s">
        <v>95</v>
      </c>
      <c r="F429" t="s">
        <v>132</v>
      </c>
      <c r="G429"/>
      <c r="H429" s="11"/>
      <c r="I42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29">
        <v>2</v>
      </c>
      <c r="K42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29">
        <v>3</v>
      </c>
    </row>
    <row r="430" spans="1:12" hidden="1" x14ac:dyDescent="0.3">
      <c r="A430" s="9">
        <v>45931</v>
      </c>
      <c r="B430" s="3" t="s">
        <v>151</v>
      </c>
      <c r="C430" s="10">
        <v>21000</v>
      </c>
      <c r="D430" t="s">
        <v>27</v>
      </c>
      <c r="E430" t="s">
        <v>95</v>
      </c>
      <c r="F430" t="s">
        <v>132</v>
      </c>
      <c r="G430"/>
      <c r="H430" s="11"/>
      <c r="I43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30">
        <v>2</v>
      </c>
      <c r="K43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0">
        <v>3</v>
      </c>
    </row>
    <row r="431" spans="1:12" hidden="1" x14ac:dyDescent="0.3">
      <c r="A431" s="9">
        <v>45931</v>
      </c>
      <c r="B431" s="3" t="s">
        <v>143</v>
      </c>
      <c r="C431" s="10">
        <v>10800</v>
      </c>
      <c r="D431" t="s">
        <v>27</v>
      </c>
      <c r="E431" t="s">
        <v>95</v>
      </c>
      <c r="F431" t="s">
        <v>132</v>
      </c>
      <c r="G431"/>
      <c r="H431" s="11"/>
      <c r="I43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31">
        <v>2</v>
      </c>
      <c r="K43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1">
        <v>3</v>
      </c>
    </row>
    <row r="432" spans="1:12" hidden="1" x14ac:dyDescent="0.3">
      <c r="A432" s="9">
        <v>45931</v>
      </c>
      <c r="B432" s="3" t="s">
        <v>18</v>
      </c>
      <c r="C432" s="10">
        <v>90000</v>
      </c>
      <c r="D432" t="s">
        <v>19</v>
      </c>
      <c r="E432" t="s">
        <v>95</v>
      </c>
      <c r="F432" t="s">
        <v>132</v>
      </c>
      <c r="G432"/>
      <c r="H432" s="11"/>
      <c r="I43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2">
        <v>1</v>
      </c>
      <c r="K43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2">
        <v>3</v>
      </c>
    </row>
    <row r="433" spans="1:14" hidden="1" x14ac:dyDescent="0.3">
      <c r="A433" s="9">
        <v>45931</v>
      </c>
      <c r="B433" s="3" t="s">
        <v>133</v>
      </c>
      <c r="C433" s="10">
        <v>155322</v>
      </c>
      <c r="D433" t="s">
        <v>19</v>
      </c>
      <c r="E433" t="s">
        <v>95</v>
      </c>
      <c r="F433" t="s">
        <v>132</v>
      </c>
      <c r="G433"/>
      <c r="H433" s="11"/>
      <c r="I43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3">
        <v>1</v>
      </c>
      <c r="K43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3">
        <v>3</v>
      </c>
    </row>
    <row r="434" spans="1:14" hidden="1" x14ac:dyDescent="0.3">
      <c r="A434" s="9">
        <v>45931</v>
      </c>
      <c r="B434" s="3" t="s">
        <v>86</v>
      </c>
      <c r="C434" s="10">
        <v>158900</v>
      </c>
      <c r="D434" t="s">
        <v>16</v>
      </c>
      <c r="E434" t="s">
        <v>95</v>
      </c>
      <c r="F434" t="s">
        <v>132</v>
      </c>
      <c r="G434"/>
      <c r="H434" s="11"/>
      <c r="I43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4">
        <v>1</v>
      </c>
      <c r="K43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4">
        <v>3</v>
      </c>
    </row>
    <row r="435" spans="1:14" hidden="1" x14ac:dyDescent="0.3">
      <c r="A435" s="9">
        <v>45931</v>
      </c>
      <c r="B435" s="3" t="s">
        <v>128</v>
      </c>
      <c r="C435" s="10">
        <v>25000</v>
      </c>
      <c r="D435" t="s">
        <v>16</v>
      </c>
      <c r="E435" t="s">
        <v>95</v>
      </c>
      <c r="F435" t="s">
        <v>132</v>
      </c>
      <c r="G435"/>
      <c r="H435" s="11"/>
      <c r="I43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5">
        <v>1</v>
      </c>
      <c r="K43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5">
        <v>3</v>
      </c>
    </row>
    <row r="436" spans="1:14" hidden="1" x14ac:dyDescent="0.3">
      <c r="A436" s="9">
        <v>45931</v>
      </c>
      <c r="B436" s="3" t="s">
        <v>150</v>
      </c>
      <c r="C436" s="10">
        <v>50000</v>
      </c>
      <c r="D436" t="s">
        <v>16</v>
      </c>
      <c r="E436" t="s">
        <v>95</v>
      </c>
      <c r="F436" t="s">
        <v>132</v>
      </c>
      <c r="G436"/>
      <c r="H436" s="11"/>
      <c r="I43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6">
        <v>1</v>
      </c>
      <c r="K43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6">
        <v>3</v>
      </c>
      <c r="N436" s="43"/>
    </row>
    <row r="437" spans="1:14" hidden="1" x14ac:dyDescent="0.3">
      <c r="A437" s="9">
        <v>45931</v>
      </c>
      <c r="B437" s="3" t="s">
        <v>37</v>
      </c>
      <c r="C437" s="10">
        <v>30000</v>
      </c>
      <c r="D437" t="s">
        <v>38</v>
      </c>
      <c r="E437" t="s">
        <v>95</v>
      </c>
      <c r="F437" t="s">
        <v>132</v>
      </c>
      <c r="G437"/>
      <c r="H437" s="11"/>
      <c r="I43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7">
        <v>1</v>
      </c>
      <c r="K43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7">
        <v>3</v>
      </c>
    </row>
    <row r="438" spans="1:14" hidden="1" x14ac:dyDescent="0.3">
      <c r="A438" s="9">
        <v>45931</v>
      </c>
      <c r="B438" s="3" t="s">
        <v>98</v>
      </c>
      <c r="C438" s="10">
        <v>10000</v>
      </c>
      <c r="D438" t="s">
        <v>23</v>
      </c>
      <c r="E438" t="s">
        <v>95</v>
      </c>
      <c r="F438" t="s">
        <v>132</v>
      </c>
      <c r="G438"/>
      <c r="H438" s="11"/>
      <c r="I43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8">
        <v>1</v>
      </c>
      <c r="K43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8">
        <v>3</v>
      </c>
    </row>
    <row r="439" spans="1:14" hidden="1" x14ac:dyDescent="0.3">
      <c r="A439" s="9">
        <v>45931</v>
      </c>
      <c r="B439" s="3" t="s">
        <v>100</v>
      </c>
      <c r="C439" s="10">
        <v>15500</v>
      </c>
      <c r="D439" t="s">
        <v>23</v>
      </c>
      <c r="E439" t="s">
        <v>95</v>
      </c>
      <c r="F439" t="s">
        <v>132</v>
      </c>
      <c r="G439"/>
      <c r="H439" s="11"/>
      <c r="I43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39">
        <v>1</v>
      </c>
      <c r="K43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39">
        <v>3</v>
      </c>
    </row>
    <row r="440" spans="1:14" hidden="1" x14ac:dyDescent="0.3">
      <c r="A440" s="9">
        <v>45962</v>
      </c>
      <c r="B440" s="3" t="s">
        <v>34</v>
      </c>
      <c r="C440" s="10">
        <v>2112000</v>
      </c>
      <c r="D440" t="s">
        <v>35</v>
      </c>
      <c r="E440" t="s">
        <v>35</v>
      </c>
      <c r="F440" t="s">
        <v>135</v>
      </c>
      <c r="G440"/>
      <c r="H440" s="11"/>
      <c r="I44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40">
        <v>4</v>
      </c>
      <c r="K44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40">
        <v>4</v>
      </c>
    </row>
    <row r="441" spans="1:14" hidden="1" x14ac:dyDescent="0.3">
      <c r="A441" s="9">
        <v>45962</v>
      </c>
      <c r="B441" s="3" t="s">
        <v>36</v>
      </c>
      <c r="C441" s="10">
        <v>81645</v>
      </c>
      <c r="D441" t="s">
        <v>35</v>
      </c>
      <c r="E441" t="s">
        <v>35</v>
      </c>
      <c r="F441" t="s">
        <v>135</v>
      </c>
      <c r="G441"/>
      <c r="H441" s="11"/>
      <c r="I44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41">
        <v>4</v>
      </c>
      <c r="K44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41">
        <v>4</v>
      </c>
    </row>
    <row r="442" spans="1:14" hidden="1" x14ac:dyDescent="0.3">
      <c r="A442" s="9">
        <v>45962</v>
      </c>
      <c r="B442" s="3" t="s">
        <v>146</v>
      </c>
      <c r="C442" s="10">
        <v>346620</v>
      </c>
      <c r="D442" t="s">
        <v>146</v>
      </c>
      <c r="E442" t="s">
        <v>95</v>
      </c>
      <c r="F442" t="s">
        <v>137</v>
      </c>
      <c r="G442">
        <v>48</v>
      </c>
      <c r="H442" s="11">
        <v>3</v>
      </c>
      <c r="I44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2">
        <v>2</v>
      </c>
      <c r="K4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2">
        <v>1</v>
      </c>
    </row>
    <row r="443" spans="1:14" hidden="1" x14ac:dyDescent="0.3">
      <c r="A443" s="9">
        <v>45962</v>
      </c>
      <c r="B443" s="3" t="s">
        <v>147</v>
      </c>
      <c r="C443" s="10">
        <v>80500</v>
      </c>
      <c r="D443" t="s">
        <v>146</v>
      </c>
      <c r="E443" t="s">
        <v>95</v>
      </c>
      <c r="F443" t="s">
        <v>132</v>
      </c>
      <c r="G443"/>
      <c r="H443" s="11"/>
      <c r="I44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3">
        <v>2</v>
      </c>
      <c r="K44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3">
        <v>1</v>
      </c>
    </row>
    <row r="444" spans="1:14" hidden="1" x14ac:dyDescent="0.3">
      <c r="A444" s="9">
        <v>45962</v>
      </c>
      <c r="B444" s="3" t="s">
        <v>148</v>
      </c>
      <c r="C444" s="10">
        <v>77908</v>
      </c>
      <c r="D444" t="s">
        <v>146</v>
      </c>
      <c r="E444" t="s">
        <v>95</v>
      </c>
      <c r="F444" t="s">
        <v>132</v>
      </c>
      <c r="G444"/>
      <c r="H444" s="11"/>
      <c r="I44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4">
        <v>2</v>
      </c>
      <c r="K4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4">
        <v>1</v>
      </c>
    </row>
    <row r="445" spans="1:14" hidden="1" x14ac:dyDescent="0.3">
      <c r="A445" s="9">
        <v>45962</v>
      </c>
      <c r="B445" s="3" t="s">
        <v>134</v>
      </c>
      <c r="C445" s="10">
        <v>240000</v>
      </c>
      <c r="D445" t="s">
        <v>52</v>
      </c>
      <c r="E445" t="s">
        <v>95</v>
      </c>
      <c r="F445" t="s">
        <v>132</v>
      </c>
      <c r="G445"/>
      <c r="H445" s="11"/>
      <c r="I44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5">
        <v>2</v>
      </c>
      <c r="K4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5">
        <v>1</v>
      </c>
    </row>
    <row r="446" spans="1:14" hidden="1" x14ac:dyDescent="0.3">
      <c r="A446" s="9">
        <v>45962</v>
      </c>
      <c r="B446" s="3" t="s">
        <v>129</v>
      </c>
      <c r="C446" s="10">
        <v>150000</v>
      </c>
      <c r="D446" t="s">
        <v>52</v>
      </c>
      <c r="E446" t="s">
        <v>95</v>
      </c>
      <c r="F446" t="s">
        <v>132</v>
      </c>
      <c r="G446"/>
      <c r="H446" s="11"/>
      <c r="I44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6">
        <v>2</v>
      </c>
      <c r="K4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6">
        <v>1</v>
      </c>
    </row>
    <row r="447" spans="1:14" hidden="1" x14ac:dyDescent="0.3">
      <c r="A447" s="9">
        <v>45962</v>
      </c>
      <c r="B447" s="3" t="s">
        <v>122</v>
      </c>
      <c r="C447" s="10">
        <v>44166</v>
      </c>
      <c r="D447" t="s">
        <v>118</v>
      </c>
      <c r="E447" t="s">
        <v>95</v>
      </c>
      <c r="F447" t="s">
        <v>137</v>
      </c>
      <c r="G447">
        <v>12</v>
      </c>
      <c r="H447" s="11">
        <v>8</v>
      </c>
      <c r="I44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7">
        <v>2</v>
      </c>
      <c r="K4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7">
        <v>1</v>
      </c>
    </row>
    <row r="448" spans="1:14" hidden="1" x14ac:dyDescent="0.3">
      <c r="A448" s="9">
        <v>45962</v>
      </c>
      <c r="B448" s="3" t="s">
        <v>139</v>
      </c>
      <c r="C448" s="10">
        <v>12666</v>
      </c>
      <c r="D448" t="s">
        <v>118</v>
      </c>
      <c r="E448" t="s">
        <v>95</v>
      </c>
      <c r="F448" t="s">
        <v>137</v>
      </c>
      <c r="G448">
        <v>9</v>
      </c>
      <c r="H448" s="11">
        <v>7</v>
      </c>
      <c r="I44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8">
        <v>2</v>
      </c>
      <c r="K44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8">
        <v>1</v>
      </c>
    </row>
    <row r="449" spans="1:12" hidden="1" x14ac:dyDescent="0.3">
      <c r="A449" s="9">
        <v>45962</v>
      </c>
      <c r="B449" s="3" t="s">
        <v>149</v>
      </c>
      <c r="C449" s="10">
        <v>13570</v>
      </c>
      <c r="D449" t="s">
        <v>118</v>
      </c>
      <c r="E449" t="s">
        <v>95</v>
      </c>
      <c r="F449" t="s">
        <v>132</v>
      </c>
      <c r="G449">
        <v>5</v>
      </c>
      <c r="H449" s="11">
        <v>3</v>
      </c>
      <c r="I44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49">
        <v>2</v>
      </c>
      <c r="K4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49">
        <v>1</v>
      </c>
    </row>
    <row r="450" spans="1:12" hidden="1" x14ac:dyDescent="0.3">
      <c r="A450" s="9">
        <v>45962</v>
      </c>
      <c r="B450" s="3" t="s">
        <v>153</v>
      </c>
      <c r="C450" s="10">
        <v>43244</v>
      </c>
      <c r="D450" t="s">
        <v>118</v>
      </c>
      <c r="E450" t="s">
        <v>95</v>
      </c>
      <c r="F450" t="s">
        <v>132</v>
      </c>
      <c r="G450">
        <v>12</v>
      </c>
      <c r="H450" s="11">
        <v>2</v>
      </c>
      <c r="I45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0">
        <v>2</v>
      </c>
      <c r="K4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50">
        <v>1</v>
      </c>
    </row>
    <row r="451" spans="1:12" hidden="1" x14ac:dyDescent="0.3">
      <c r="A451" s="9">
        <v>45962</v>
      </c>
      <c r="B451" s="3" t="s">
        <v>94</v>
      </c>
      <c r="C451" s="10">
        <v>52000</v>
      </c>
      <c r="D451" t="s">
        <v>16</v>
      </c>
      <c r="E451" t="s">
        <v>95</v>
      </c>
      <c r="F451" t="s">
        <v>132</v>
      </c>
      <c r="G451"/>
      <c r="H451" s="11"/>
      <c r="I45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1">
        <v>2</v>
      </c>
      <c r="K4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51">
        <v>1</v>
      </c>
    </row>
    <row r="452" spans="1:12" hidden="1" x14ac:dyDescent="0.3">
      <c r="A452" s="9">
        <v>45962</v>
      </c>
      <c r="B452" s="3" t="s">
        <v>131</v>
      </c>
      <c r="C452" s="10">
        <v>70000</v>
      </c>
      <c r="D452" t="s">
        <v>16</v>
      </c>
      <c r="E452" t="s">
        <v>95</v>
      </c>
      <c r="F452" t="s">
        <v>137</v>
      </c>
      <c r="G452">
        <v>12</v>
      </c>
      <c r="H452" s="11">
        <v>7</v>
      </c>
      <c r="I45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2">
        <v>2</v>
      </c>
      <c r="K4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52">
        <v>1</v>
      </c>
    </row>
    <row r="453" spans="1:12" hidden="1" x14ac:dyDescent="0.3">
      <c r="A453" s="9">
        <v>45962</v>
      </c>
      <c r="B453" s="3" t="s">
        <v>97</v>
      </c>
      <c r="C453" s="10">
        <v>90615</v>
      </c>
      <c r="D453" t="s">
        <v>97</v>
      </c>
      <c r="E453" t="s">
        <v>95</v>
      </c>
      <c r="F453" t="s">
        <v>132</v>
      </c>
      <c r="G453"/>
      <c r="H453" s="11"/>
      <c r="I45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3">
        <v>2</v>
      </c>
      <c r="K45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3">
        <v>3</v>
      </c>
    </row>
    <row r="454" spans="1:12" hidden="1" x14ac:dyDescent="0.3">
      <c r="A454" s="9">
        <v>45962</v>
      </c>
      <c r="B454" s="3" t="s">
        <v>130</v>
      </c>
      <c r="C454" s="10">
        <v>42000</v>
      </c>
      <c r="D454" t="s">
        <v>38</v>
      </c>
      <c r="E454" t="s">
        <v>95</v>
      </c>
      <c r="F454" t="s">
        <v>132</v>
      </c>
      <c r="G454"/>
      <c r="H454" s="11"/>
      <c r="I45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4">
        <v>2</v>
      </c>
      <c r="K4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54">
        <v>1</v>
      </c>
    </row>
    <row r="455" spans="1:12" hidden="1" x14ac:dyDescent="0.3">
      <c r="A455" s="9">
        <v>45962</v>
      </c>
      <c r="B455" s="3" t="s">
        <v>141</v>
      </c>
      <c r="C455" s="10">
        <v>157670</v>
      </c>
      <c r="D455" t="s">
        <v>38</v>
      </c>
      <c r="E455" t="s">
        <v>95</v>
      </c>
      <c r="F455" t="s">
        <v>132</v>
      </c>
      <c r="G455"/>
      <c r="H455" s="11"/>
      <c r="I45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5">
        <v>2</v>
      </c>
      <c r="K45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5">
        <v>3</v>
      </c>
    </row>
    <row r="456" spans="1:12" hidden="1" x14ac:dyDescent="0.3">
      <c r="A456" s="9">
        <v>45962</v>
      </c>
      <c r="B456" s="3" t="s">
        <v>102</v>
      </c>
      <c r="C456" s="10">
        <v>9122</v>
      </c>
      <c r="D456" t="s">
        <v>27</v>
      </c>
      <c r="E456" t="s">
        <v>95</v>
      </c>
      <c r="F456" t="s">
        <v>132</v>
      </c>
      <c r="G456"/>
      <c r="H456" s="11"/>
      <c r="I45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6">
        <v>2</v>
      </c>
      <c r="K45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6">
        <v>3</v>
      </c>
    </row>
    <row r="457" spans="1:12" hidden="1" x14ac:dyDescent="0.3">
      <c r="A457" s="9">
        <v>45962</v>
      </c>
      <c r="B457" s="3" t="s">
        <v>103</v>
      </c>
      <c r="C457" s="10">
        <v>2000</v>
      </c>
      <c r="D457" t="s">
        <v>27</v>
      </c>
      <c r="E457" t="s">
        <v>95</v>
      </c>
      <c r="F457" t="s">
        <v>132</v>
      </c>
      <c r="G457"/>
      <c r="H457" s="11"/>
      <c r="I45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7">
        <v>2</v>
      </c>
      <c r="K45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7">
        <v>3</v>
      </c>
    </row>
    <row r="458" spans="1:12" hidden="1" x14ac:dyDescent="0.3">
      <c r="A458" s="9">
        <v>45962</v>
      </c>
      <c r="B458" s="3" t="s">
        <v>104</v>
      </c>
      <c r="C458" s="10">
        <v>3391</v>
      </c>
      <c r="D458" t="s">
        <v>27</v>
      </c>
      <c r="E458" t="s">
        <v>95</v>
      </c>
      <c r="F458" t="s">
        <v>132</v>
      </c>
      <c r="G458"/>
      <c r="H458" s="11"/>
      <c r="I45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8">
        <v>2</v>
      </c>
      <c r="K45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8">
        <v>3</v>
      </c>
    </row>
    <row r="459" spans="1:12" hidden="1" x14ac:dyDescent="0.3">
      <c r="A459" s="9">
        <v>45962</v>
      </c>
      <c r="B459" s="3" t="s">
        <v>96</v>
      </c>
      <c r="C459" s="10">
        <v>1904</v>
      </c>
      <c r="D459" t="s">
        <v>27</v>
      </c>
      <c r="E459" t="s">
        <v>95</v>
      </c>
      <c r="F459" t="s">
        <v>132</v>
      </c>
      <c r="G459"/>
      <c r="H459" s="11"/>
      <c r="I45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59">
        <v>2</v>
      </c>
      <c r="K45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59">
        <v>3</v>
      </c>
    </row>
    <row r="460" spans="1:12" hidden="1" x14ac:dyDescent="0.3">
      <c r="A460" s="9">
        <v>45962</v>
      </c>
      <c r="B460" s="3" t="s">
        <v>151</v>
      </c>
      <c r="C460" s="10">
        <v>21000</v>
      </c>
      <c r="D460" t="s">
        <v>27</v>
      </c>
      <c r="E460" t="s">
        <v>95</v>
      </c>
      <c r="F460" t="s">
        <v>132</v>
      </c>
      <c r="G460"/>
      <c r="H460" s="11"/>
      <c r="I46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60">
        <v>2</v>
      </c>
      <c r="K46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0">
        <v>3</v>
      </c>
    </row>
    <row r="461" spans="1:12" hidden="1" x14ac:dyDescent="0.3">
      <c r="A461" s="9">
        <v>45962</v>
      </c>
      <c r="B461" s="3" t="s">
        <v>143</v>
      </c>
      <c r="C461" s="10">
        <v>10800</v>
      </c>
      <c r="D461" t="s">
        <v>27</v>
      </c>
      <c r="E461" t="s">
        <v>95</v>
      </c>
      <c r="F461" t="s">
        <v>132</v>
      </c>
      <c r="G461"/>
      <c r="H461" s="11"/>
      <c r="I46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61">
        <v>2</v>
      </c>
      <c r="K46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1">
        <v>3</v>
      </c>
    </row>
    <row r="462" spans="1:12" hidden="1" x14ac:dyDescent="0.3">
      <c r="A462" s="9">
        <v>45962</v>
      </c>
      <c r="B462" s="3" t="s">
        <v>18</v>
      </c>
      <c r="C462" s="10">
        <v>99000</v>
      </c>
      <c r="D462" t="s">
        <v>19</v>
      </c>
      <c r="E462" t="s">
        <v>95</v>
      </c>
      <c r="F462" t="s">
        <v>132</v>
      </c>
      <c r="G462"/>
      <c r="H462" s="11"/>
      <c r="I46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2">
        <v>1</v>
      </c>
      <c r="K46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2">
        <v>3</v>
      </c>
    </row>
    <row r="463" spans="1:12" hidden="1" x14ac:dyDescent="0.3">
      <c r="A463" s="9">
        <v>45962</v>
      </c>
      <c r="B463" s="3" t="s">
        <v>133</v>
      </c>
      <c r="C463" s="10">
        <v>164667</v>
      </c>
      <c r="D463" t="s">
        <v>19</v>
      </c>
      <c r="E463" t="s">
        <v>95</v>
      </c>
      <c r="F463" t="s">
        <v>132</v>
      </c>
      <c r="G463"/>
      <c r="H463" s="11"/>
      <c r="I46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3">
        <v>1</v>
      </c>
      <c r="K46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3">
        <v>3</v>
      </c>
    </row>
    <row r="464" spans="1:12" hidden="1" x14ac:dyDescent="0.3">
      <c r="A464" s="9">
        <v>45962</v>
      </c>
      <c r="B464" s="3" t="s">
        <v>86</v>
      </c>
      <c r="C464" s="10">
        <v>161000</v>
      </c>
      <c r="D464" t="s">
        <v>16</v>
      </c>
      <c r="E464" t="s">
        <v>95</v>
      </c>
      <c r="F464" t="s">
        <v>132</v>
      </c>
      <c r="G464"/>
      <c r="H464" s="11"/>
      <c r="I46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4">
        <v>1</v>
      </c>
      <c r="K46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4">
        <v>3</v>
      </c>
    </row>
    <row r="465" spans="1:12" hidden="1" x14ac:dyDescent="0.3">
      <c r="A465" s="9">
        <v>45962</v>
      </c>
      <c r="B465" s="3" t="s">
        <v>128</v>
      </c>
      <c r="C465" s="10">
        <v>25000</v>
      </c>
      <c r="D465" t="s">
        <v>16</v>
      </c>
      <c r="E465" t="s">
        <v>95</v>
      </c>
      <c r="F465" t="s">
        <v>132</v>
      </c>
      <c r="G465"/>
      <c r="H465" s="11"/>
      <c r="I46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5">
        <v>1</v>
      </c>
      <c r="K46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5">
        <v>3</v>
      </c>
    </row>
    <row r="466" spans="1:12" hidden="1" x14ac:dyDescent="0.3">
      <c r="A466" s="9">
        <v>45962</v>
      </c>
      <c r="B466" s="3" t="s">
        <v>37</v>
      </c>
      <c r="C466" s="10">
        <v>30000</v>
      </c>
      <c r="D466" t="s">
        <v>38</v>
      </c>
      <c r="E466" t="s">
        <v>95</v>
      </c>
      <c r="F466" t="s">
        <v>132</v>
      </c>
      <c r="G466"/>
      <c r="H466" s="11"/>
      <c r="I46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6">
        <v>1</v>
      </c>
      <c r="K46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6">
        <v>3</v>
      </c>
    </row>
    <row r="467" spans="1:12" hidden="1" x14ac:dyDescent="0.3">
      <c r="A467" s="9">
        <v>45962</v>
      </c>
      <c r="B467" s="3" t="s">
        <v>98</v>
      </c>
      <c r="C467" s="10">
        <v>10000</v>
      </c>
      <c r="D467" t="s">
        <v>23</v>
      </c>
      <c r="E467" t="s">
        <v>95</v>
      </c>
      <c r="F467" t="s">
        <v>132</v>
      </c>
      <c r="G467"/>
      <c r="H467" s="11"/>
      <c r="I46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7">
        <v>1</v>
      </c>
      <c r="K46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7">
        <v>3</v>
      </c>
    </row>
    <row r="468" spans="1:12" hidden="1" x14ac:dyDescent="0.3">
      <c r="A468" s="9">
        <v>45962</v>
      </c>
      <c r="B468" s="3" t="s">
        <v>100</v>
      </c>
      <c r="C468" s="10">
        <v>15500</v>
      </c>
      <c r="D468" t="s">
        <v>23</v>
      </c>
      <c r="E468" t="s">
        <v>95</v>
      </c>
      <c r="F468" t="s">
        <v>132</v>
      </c>
      <c r="G468"/>
      <c r="H468" s="11"/>
      <c r="I46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68">
        <v>1</v>
      </c>
      <c r="K46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468">
        <v>3</v>
      </c>
    </row>
    <row r="469" spans="1:12" hidden="1" x14ac:dyDescent="0.3">
      <c r="A469" s="9">
        <v>45992</v>
      </c>
      <c r="B469" s="45" t="s">
        <v>34</v>
      </c>
      <c r="C469" s="10">
        <v>2073500</v>
      </c>
      <c r="D469" t="s">
        <v>35</v>
      </c>
      <c r="E469" t="s">
        <v>35</v>
      </c>
      <c r="F469" t="s">
        <v>135</v>
      </c>
      <c r="G469"/>
      <c r="H469" s="11"/>
      <c r="I469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69">
        <v>4</v>
      </c>
      <c r="K469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69">
        <v>4</v>
      </c>
    </row>
    <row r="470" spans="1:12" hidden="1" x14ac:dyDescent="0.3">
      <c r="A470" s="9">
        <v>45992</v>
      </c>
      <c r="B470" s="45" t="s">
        <v>36</v>
      </c>
      <c r="C470" s="10">
        <v>81645</v>
      </c>
      <c r="D470" t="s">
        <v>35</v>
      </c>
      <c r="E470" t="s">
        <v>35</v>
      </c>
      <c r="F470" t="s">
        <v>135</v>
      </c>
      <c r="G470"/>
      <c r="H470" s="11"/>
      <c r="I47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70">
        <v>4</v>
      </c>
      <c r="K47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70">
        <v>4</v>
      </c>
    </row>
    <row r="471" spans="1:12" hidden="1" x14ac:dyDescent="0.3">
      <c r="A471" s="9">
        <v>45992</v>
      </c>
      <c r="B471" s="45" t="s">
        <v>146</v>
      </c>
      <c r="C471" s="10">
        <v>351923</v>
      </c>
      <c r="D471" t="s">
        <v>146</v>
      </c>
      <c r="E471" t="s">
        <v>95</v>
      </c>
      <c r="F471" t="s">
        <v>137</v>
      </c>
      <c r="G471">
        <v>48</v>
      </c>
      <c r="H471" s="11">
        <v>3</v>
      </c>
      <c r="I47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1">
        <v>2</v>
      </c>
      <c r="K4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1">
        <v>1</v>
      </c>
    </row>
    <row r="472" spans="1:12" hidden="1" x14ac:dyDescent="0.3">
      <c r="A472" s="9">
        <v>45992</v>
      </c>
      <c r="B472" s="45" t="s">
        <v>147</v>
      </c>
      <c r="C472" s="10">
        <v>80500</v>
      </c>
      <c r="D472" t="s">
        <v>146</v>
      </c>
      <c r="E472" t="s">
        <v>95</v>
      </c>
      <c r="F472" t="s">
        <v>132</v>
      </c>
      <c r="G472"/>
      <c r="H472" s="11"/>
      <c r="I47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2">
        <v>2</v>
      </c>
      <c r="K47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2">
        <v>1</v>
      </c>
    </row>
    <row r="473" spans="1:12" hidden="1" x14ac:dyDescent="0.3">
      <c r="A473" s="9">
        <v>45992</v>
      </c>
      <c r="B473" s="45" t="s">
        <v>148</v>
      </c>
      <c r="C473" s="10">
        <v>81025</v>
      </c>
      <c r="D473" t="s">
        <v>146</v>
      </c>
      <c r="E473" t="s">
        <v>95</v>
      </c>
      <c r="F473" t="s">
        <v>132</v>
      </c>
      <c r="G473"/>
      <c r="H473" s="11"/>
      <c r="I47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3">
        <v>2</v>
      </c>
      <c r="K47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3">
        <v>1</v>
      </c>
    </row>
    <row r="474" spans="1:12" hidden="1" x14ac:dyDescent="0.3">
      <c r="A474" s="9">
        <v>45992</v>
      </c>
      <c r="B474" s="45" t="s">
        <v>134</v>
      </c>
      <c r="C474" s="10">
        <v>240000</v>
      </c>
      <c r="D474" t="s">
        <v>52</v>
      </c>
      <c r="E474" t="s">
        <v>95</v>
      </c>
      <c r="F474" t="s">
        <v>132</v>
      </c>
      <c r="G474"/>
      <c r="H474" s="11"/>
      <c r="I47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4">
        <v>2</v>
      </c>
      <c r="K47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4">
        <v>1</v>
      </c>
    </row>
    <row r="475" spans="1:12" hidden="1" x14ac:dyDescent="0.3">
      <c r="A475" s="9">
        <v>45992</v>
      </c>
      <c r="B475" s="45" t="s">
        <v>129</v>
      </c>
      <c r="C475" s="10">
        <v>145000</v>
      </c>
      <c r="D475" t="s">
        <v>52</v>
      </c>
      <c r="E475" t="s">
        <v>95</v>
      </c>
      <c r="F475" t="s">
        <v>132</v>
      </c>
      <c r="G475"/>
      <c r="H475" s="11"/>
      <c r="I47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5">
        <v>2</v>
      </c>
      <c r="K47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5">
        <v>1</v>
      </c>
    </row>
    <row r="476" spans="1:12" hidden="1" x14ac:dyDescent="0.3">
      <c r="A476" s="9">
        <v>45992</v>
      </c>
      <c r="B476" s="45" t="s">
        <v>154</v>
      </c>
      <c r="C476" s="10">
        <v>17474</v>
      </c>
      <c r="D476" t="s">
        <v>118</v>
      </c>
      <c r="E476" t="s">
        <v>95</v>
      </c>
      <c r="F476" t="s">
        <v>137</v>
      </c>
      <c r="G476">
        <v>6</v>
      </c>
      <c r="H476" s="11">
        <v>1</v>
      </c>
      <c r="I47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6">
        <v>2</v>
      </c>
      <c r="K47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6">
        <v>1</v>
      </c>
    </row>
    <row r="477" spans="1:12" hidden="1" x14ac:dyDescent="0.3">
      <c r="A477" s="9">
        <v>45992</v>
      </c>
      <c r="B477" s="45" t="s">
        <v>122</v>
      </c>
      <c r="C477" s="10">
        <v>44166</v>
      </c>
      <c r="D477" t="s">
        <v>118</v>
      </c>
      <c r="E477" t="s">
        <v>95</v>
      </c>
      <c r="F477" t="s">
        <v>137</v>
      </c>
      <c r="G477">
        <v>12</v>
      </c>
      <c r="H477" s="11">
        <v>9</v>
      </c>
      <c r="I47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7">
        <v>2</v>
      </c>
      <c r="K47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7">
        <v>1</v>
      </c>
    </row>
    <row r="478" spans="1:12" hidden="1" x14ac:dyDescent="0.3">
      <c r="A478" s="9">
        <v>45992</v>
      </c>
      <c r="B478" s="45" t="s">
        <v>139</v>
      </c>
      <c r="C478" s="10">
        <v>12666</v>
      </c>
      <c r="D478" t="s">
        <v>118</v>
      </c>
      <c r="E478" t="s">
        <v>95</v>
      </c>
      <c r="F478" t="s">
        <v>137</v>
      </c>
      <c r="G478">
        <v>9</v>
      </c>
      <c r="H478" s="11">
        <v>8</v>
      </c>
      <c r="I47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8">
        <v>2</v>
      </c>
      <c r="K47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8">
        <v>1</v>
      </c>
    </row>
    <row r="479" spans="1:12" hidden="1" x14ac:dyDescent="0.3">
      <c r="A479" s="9">
        <v>45992</v>
      </c>
      <c r="B479" s="45" t="s">
        <v>149</v>
      </c>
      <c r="C479" s="10">
        <v>13570</v>
      </c>
      <c r="D479" t="s">
        <v>118</v>
      </c>
      <c r="E479" t="s">
        <v>95</v>
      </c>
      <c r="F479" t="s">
        <v>132</v>
      </c>
      <c r="G479">
        <v>5</v>
      </c>
      <c r="H479" s="11">
        <v>4</v>
      </c>
      <c r="I47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79">
        <v>2</v>
      </c>
      <c r="K47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79">
        <v>1</v>
      </c>
    </row>
    <row r="480" spans="1:12" hidden="1" x14ac:dyDescent="0.3">
      <c r="A480" s="9">
        <v>45992</v>
      </c>
      <c r="B480" s="45" t="s">
        <v>153</v>
      </c>
      <c r="C480" s="10">
        <v>43244</v>
      </c>
      <c r="D480" t="s">
        <v>118</v>
      </c>
      <c r="E480" t="s">
        <v>95</v>
      </c>
      <c r="F480" t="s">
        <v>132</v>
      </c>
      <c r="G480">
        <v>12</v>
      </c>
      <c r="H480" s="11">
        <v>3</v>
      </c>
      <c r="I48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0">
        <v>2</v>
      </c>
      <c r="K48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0">
        <v>1</v>
      </c>
    </row>
    <row r="481" spans="1:12" hidden="1" x14ac:dyDescent="0.3">
      <c r="A481" s="9">
        <v>45992</v>
      </c>
      <c r="B481" s="45" t="s">
        <v>155</v>
      </c>
      <c r="C481" s="10">
        <v>52000</v>
      </c>
      <c r="D481" t="s">
        <v>16</v>
      </c>
      <c r="E481" t="s">
        <v>95</v>
      </c>
      <c r="F481" t="s">
        <v>132</v>
      </c>
      <c r="G481"/>
      <c r="H481" s="11"/>
      <c r="I4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1">
        <v>2</v>
      </c>
      <c r="K48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1">
        <v>1</v>
      </c>
    </row>
    <row r="482" spans="1:12" hidden="1" x14ac:dyDescent="0.3">
      <c r="A482" s="9">
        <v>45992</v>
      </c>
      <c r="B482" s="45" t="s">
        <v>131</v>
      </c>
      <c r="C482" s="10">
        <v>70000</v>
      </c>
      <c r="D482" t="s">
        <v>16</v>
      </c>
      <c r="E482" t="s">
        <v>95</v>
      </c>
      <c r="F482" t="s">
        <v>137</v>
      </c>
      <c r="G482">
        <v>12</v>
      </c>
      <c r="H482" s="11">
        <v>8</v>
      </c>
      <c r="I48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2">
        <v>2</v>
      </c>
      <c r="K48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2">
        <v>1</v>
      </c>
    </row>
    <row r="483" spans="1:12" hidden="1" x14ac:dyDescent="0.3">
      <c r="A483" s="9">
        <v>45992</v>
      </c>
      <c r="B483" s="45" t="s">
        <v>97</v>
      </c>
      <c r="C483" s="10">
        <v>90615</v>
      </c>
      <c r="D483" t="s">
        <v>97</v>
      </c>
      <c r="E483" t="s">
        <v>95</v>
      </c>
      <c r="F483" t="s">
        <v>132</v>
      </c>
      <c r="G483"/>
      <c r="H483" s="11"/>
      <c r="I48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3">
        <v>2</v>
      </c>
      <c r="K48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3">
        <v>1</v>
      </c>
    </row>
    <row r="484" spans="1:12" hidden="1" x14ac:dyDescent="0.3">
      <c r="A484" s="9">
        <v>45992</v>
      </c>
      <c r="B484" s="45" t="s">
        <v>130</v>
      </c>
      <c r="C484" s="10">
        <v>42000</v>
      </c>
      <c r="D484" t="s">
        <v>38</v>
      </c>
      <c r="E484" t="s">
        <v>95</v>
      </c>
      <c r="F484" t="s">
        <v>132</v>
      </c>
      <c r="G484"/>
      <c r="H484" s="11"/>
      <c r="I48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4">
        <v>2</v>
      </c>
      <c r="K48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4">
        <v>1</v>
      </c>
    </row>
    <row r="485" spans="1:12" hidden="1" x14ac:dyDescent="0.3">
      <c r="A485" s="9">
        <v>45992</v>
      </c>
      <c r="B485" s="45" t="s">
        <v>141</v>
      </c>
      <c r="C485" s="10">
        <v>161974</v>
      </c>
      <c r="D485" t="s">
        <v>38</v>
      </c>
      <c r="E485" t="s">
        <v>95</v>
      </c>
      <c r="F485" t="s">
        <v>132</v>
      </c>
      <c r="G485"/>
      <c r="H485" s="11"/>
      <c r="I48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5">
        <v>2</v>
      </c>
      <c r="K48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5">
        <v>1</v>
      </c>
    </row>
    <row r="486" spans="1:12" hidden="1" x14ac:dyDescent="0.3">
      <c r="A486" s="9">
        <v>45992</v>
      </c>
      <c r="B486" s="45" t="s">
        <v>102</v>
      </c>
      <c r="C486" s="10">
        <v>9122</v>
      </c>
      <c r="D486" t="s">
        <v>27</v>
      </c>
      <c r="E486" t="s">
        <v>95</v>
      </c>
      <c r="F486" t="s">
        <v>132</v>
      </c>
      <c r="G486"/>
      <c r="H486" s="11"/>
      <c r="I48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6">
        <v>2</v>
      </c>
      <c r="K48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6">
        <v>1</v>
      </c>
    </row>
    <row r="487" spans="1:12" hidden="1" x14ac:dyDescent="0.3">
      <c r="A487" s="9">
        <v>45992</v>
      </c>
      <c r="B487" s="45" t="s">
        <v>103</v>
      </c>
      <c r="C487" s="10">
        <v>2000</v>
      </c>
      <c r="D487" t="s">
        <v>27</v>
      </c>
      <c r="E487" t="s">
        <v>95</v>
      </c>
      <c r="F487" t="s">
        <v>132</v>
      </c>
      <c r="G487"/>
      <c r="H487" s="11"/>
      <c r="I48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7">
        <v>2</v>
      </c>
      <c r="K48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7">
        <v>1</v>
      </c>
    </row>
    <row r="488" spans="1:12" hidden="1" x14ac:dyDescent="0.3">
      <c r="A488" s="9">
        <v>45992</v>
      </c>
      <c r="B488" s="45" t="s">
        <v>104</v>
      </c>
      <c r="C488" s="10">
        <v>3391</v>
      </c>
      <c r="D488" t="s">
        <v>27</v>
      </c>
      <c r="E488" t="s">
        <v>95</v>
      </c>
      <c r="F488" t="s">
        <v>132</v>
      </c>
      <c r="G488"/>
      <c r="H488" s="11"/>
      <c r="I48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8">
        <v>2</v>
      </c>
      <c r="K48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8">
        <v>1</v>
      </c>
    </row>
    <row r="489" spans="1:12" hidden="1" x14ac:dyDescent="0.3">
      <c r="A489" s="9">
        <v>45992</v>
      </c>
      <c r="B489" s="45" t="s">
        <v>96</v>
      </c>
      <c r="C489" s="10">
        <v>1904</v>
      </c>
      <c r="D489" t="s">
        <v>27</v>
      </c>
      <c r="E489" t="s">
        <v>95</v>
      </c>
      <c r="F489" t="s">
        <v>132</v>
      </c>
      <c r="G489"/>
      <c r="H489" s="11"/>
      <c r="I48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89">
        <v>2</v>
      </c>
      <c r="K48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89">
        <v>1</v>
      </c>
    </row>
    <row r="490" spans="1:12" hidden="1" x14ac:dyDescent="0.3">
      <c r="A490" s="9">
        <v>45992</v>
      </c>
      <c r="B490" s="45" t="s">
        <v>151</v>
      </c>
      <c r="C490" s="10">
        <v>0</v>
      </c>
      <c r="D490" t="s">
        <v>27</v>
      </c>
      <c r="E490" t="s">
        <v>95</v>
      </c>
      <c r="F490" t="s">
        <v>132</v>
      </c>
      <c r="G490"/>
      <c r="H490" s="11"/>
      <c r="I49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90">
        <v>2</v>
      </c>
      <c r="K49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0">
        <v>1</v>
      </c>
    </row>
    <row r="491" spans="1:12" hidden="1" x14ac:dyDescent="0.3">
      <c r="A491" s="9">
        <v>45992</v>
      </c>
      <c r="B491" s="45" t="s">
        <v>143</v>
      </c>
      <c r="C491" s="10">
        <v>8400</v>
      </c>
      <c r="D491" t="s">
        <v>27</v>
      </c>
      <c r="E491" t="s">
        <v>95</v>
      </c>
      <c r="F491" t="s">
        <v>132</v>
      </c>
      <c r="G491"/>
      <c r="H491" s="11"/>
      <c r="I49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91">
        <v>2</v>
      </c>
      <c r="K49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1">
        <v>1</v>
      </c>
    </row>
    <row r="492" spans="1:12" hidden="1" x14ac:dyDescent="0.3">
      <c r="A492" s="9">
        <v>45992</v>
      </c>
      <c r="B492" s="45" t="s">
        <v>18</v>
      </c>
      <c r="C492" s="10">
        <v>114000</v>
      </c>
      <c r="D492" t="s">
        <v>19</v>
      </c>
      <c r="E492" t="s">
        <v>95</v>
      </c>
      <c r="F492" t="s">
        <v>132</v>
      </c>
      <c r="G492"/>
      <c r="H492" s="11"/>
      <c r="I49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2">
        <v>1</v>
      </c>
      <c r="K49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2">
        <v>1</v>
      </c>
    </row>
    <row r="493" spans="1:12" hidden="1" x14ac:dyDescent="0.3">
      <c r="A493" s="9">
        <v>45992</v>
      </c>
      <c r="B493" s="45" t="s">
        <v>133</v>
      </c>
      <c r="C493" s="10">
        <v>164667</v>
      </c>
      <c r="D493" t="s">
        <v>19</v>
      </c>
      <c r="E493" t="s">
        <v>95</v>
      </c>
      <c r="F493" t="s">
        <v>132</v>
      </c>
      <c r="G493"/>
      <c r="H493" s="11"/>
      <c r="I49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3">
        <v>1</v>
      </c>
      <c r="K49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3">
        <v>1</v>
      </c>
    </row>
    <row r="494" spans="1:12" hidden="1" x14ac:dyDescent="0.3">
      <c r="A494" s="9">
        <v>45992</v>
      </c>
      <c r="B494" s="45" t="s">
        <v>86</v>
      </c>
      <c r="C494" s="10">
        <v>161000</v>
      </c>
      <c r="D494" t="s">
        <v>16</v>
      </c>
      <c r="E494" t="s">
        <v>95</v>
      </c>
      <c r="F494" t="s">
        <v>132</v>
      </c>
      <c r="G494"/>
      <c r="H494" s="11"/>
      <c r="I49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4">
        <v>1</v>
      </c>
      <c r="K49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4">
        <v>1</v>
      </c>
    </row>
    <row r="495" spans="1:12" hidden="1" x14ac:dyDescent="0.3">
      <c r="A495" s="9">
        <v>45992</v>
      </c>
      <c r="B495" s="45" t="s">
        <v>37</v>
      </c>
      <c r="C495" s="10">
        <v>30000</v>
      </c>
      <c r="D495" t="s">
        <v>38</v>
      </c>
      <c r="E495" t="s">
        <v>95</v>
      </c>
      <c r="F495" t="s">
        <v>132</v>
      </c>
      <c r="G495"/>
      <c r="H495" s="11"/>
      <c r="I49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5">
        <v>1</v>
      </c>
      <c r="K49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5">
        <v>1</v>
      </c>
    </row>
    <row r="496" spans="1:12" hidden="1" x14ac:dyDescent="0.3">
      <c r="A496" s="9">
        <v>45992</v>
      </c>
      <c r="B496" s="45" t="s">
        <v>98</v>
      </c>
      <c r="C496" s="10">
        <v>10000</v>
      </c>
      <c r="D496" t="s">
        <v>23</v>
      </c>
      <c r="E496" t="s">
        <v>95</v>
      </c>
      <c r="F496" t="s">
        <v>132</v>
      </c>
      <c r="G496"/>
      <c r="H496" s="11"/>
      <c r="I49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6">
        <v>1</v>
      </c>
      <c r="K49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6">
        <v>1</v>
      </c>
    </row>
    <row r="497" spans="1:12" hidden="1" x14ac:dyDescent="0.3">
      <c r="A497" s="9">
        <v>45992</v>
      </c>
      <c r="B497" s="45" t="s">
        <v>156</v>
      </c>
      <c r="C497" s="10">
        <v>33192</v>
      </c>
      <c r="D497" t="s">
        <v>23</v>
      </c>
      <c r="E497" t="s">
        <v>95</v>
      </c>
      <c r="F497" t="s">
        <v>132</v>
      </c>
      <c r="G497"/>
      <c r="H497" s="11"/>
      <c r="I49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497">
        <v>2</v>
      </c>
      <c r="K49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7">
        <v>1</v>
      </c>
    </row>
    <row r="498" spans="1:12" hidden="1" x14ac:dyDescent="0.3">
      <c r="A498" s="9">
        <v>45992</v>
      </c>
      <c r="B498" s="45" t="s">
        <v>100</v>
      </c>
      <c r="C498" s="10">
        <v>15500</v>
      </c>
      <c r="D498" t="s">
        <v>23</v>
      </c>
      <c r="E498" t="s">
        <v>95</v>
      </c>
      <c r="F498" t="s">
        <v>132</v>
      </c>
      <c r="G498"/>
      <c r="H498" s="11"/>
      <c r="I49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498">
        <v>1</v>
      </c>
      <c r="K49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498">
        <v>1</v>
      </c>
    </row>
    <row r="499" spans="1:12" hidden="1" x14ac:dyDescent="0.3">
      <c r="A499" s="9">
        <v>46023</v>
      </c>
      <c r="B499" s="45" t="s">
        <v>34</v>
      </c>
      <c r="C499" s="46">
        <v>2256738</v>
      </c>
      <c r="D499" t="s">
        <v>35</v>
      </c>
      <c r="E499" t="s">
        <v>35</v>
      </c>
      <c r="F499" t="s">
        <v>135</v>
      </c>
      <c r="G499"/>
      <c r="H499" s="11"/>
      <c r="I499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499">
        <v>4</v>
      </c>
      <c r="K499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499">
        <v>4</v>
      </c>
    </row>
    <row r="500" spans="1:12" hidden="1" x14ac:dyDescent="0.3">
      <c r="A500" s="9">
        <v>46023</v>
      </c>
      <c r="B500" s="45" t="s">
        <v>36</v>
      </c>
      <c r="C500" s="10">
        <v>81645</v>
      </c>
      <c r="D500" t="s">
        <v>35</v>
      </c>
      <c r="E500" t="s">
        <v>35</v>
      </c>
      <c r="F500" t="s">
        <v>135</v>
      </c>
      <c r="G500"/>
      <c r="H500" s="11"/>
      <c r="I50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500">
        <v>4</v>
      </c>
      <c r="K50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500">
        <v>4</v>
      </c>
    </row>
    <row r="501" spans="1:12" hidden="1" x14ac:dyDescent="0.3">
      <c r="A501" s="9">
        <v>46023</v>
      </c>
      <c r="B501" s="45" t="s">
        <v>146</v>
      </c>
      <c r="C501" s="10">
        <v>361582</v>
      </c>
      <c r="D501" t="s">
        <v>146</v>
      </c>
      <c r="E501" t="s">
        <v>95</v>
      </c>
      <c r="F501" t="s">
        <v>137</v>
      </c>
      <c r="G501">
        <v>48</v>
      </c>
      <c r="H501" s="11">
        <v>4</v>
      </c>
      <c r="I50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1">
        <v>2</v>
      </c>
      <c r="K50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1">
        <v>1</v>
      </c>
    </row>
    <row r="502" spans="1:12" hidden="1" x14ac:dyDescent="0.3">
      <c r="A502" s="9">
        <v>46023</v>
      </c>
      <c r="B502" s="45" t="s">
        <v>147</v>
      </c>
      <c r="C502" s="10">
        <v>80500</v>
      </c>
      <c r="D502" t="s">
        <v>146</v>
      </c>
      <c r="E502" t="s">
        <v>95</v>
      </c>
      <c r="F502" t="s">
        <v>132</v>
      </c>
      <c r="G502"/>
      <c r="H502" s="11"/>
      <c r="I50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2">
        <v>2</v>
      </c>
      <c r="K50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2">
        <v>1</v>
      </c>
    </row>
    <row r="503" spans="1:12" hidden="1" x14ac:dyDescent="0.3">
      <c r="A503" s="9">
        <v>46023</v>
      </c>
      <c r="B503" s="45" t="s">
        <v>148</v>
      </c>
      <c r="C503" s="10">
        <v>54838</v>
      </c>
      <c r="D503" t="s">
        <v>146</v>
      </c>
      <c r="E503" t="s">
        <v>95</v>
      </c>
      <c r="F503" t="s">
        <v>132</v>
      </c>
      <c r="G503"/>
      <c r="H503" s="11"/>
      <c r="I50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3">
        <v>2</v>
      </c>
      <c r="K50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3">
        <v>1</v>
      </c>
    </row>
    <row r="504" spans="1:12" hidden="1" x14ac:dyDescent="0.3">
      <c r="A504" s="9">
        <v>46023</v>
      </c>
      <c r="B504" s="45" t="s">
        <v>148</v>
      </c>
      <c r="C504" s="10">
        <v>81025</v>
      </c>
      <c r="D504" t="s">
        <v>146</v>
      </c>
      <c r="E504" t="s">
        <v>95</v>
      </c>
      <c r="F504" t="s">
        <v>132</v>
      </c>
      <c r="G504"/>
      <c r="H504" s="11"/>
      <c r="I50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4">
        <v>2</v>
      </c>
      <c r="K50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4">
        <v>1</v>
      </c>
    </row>
    <row r="505" spans="1:12" hidden="1" x14ac:dyDescent="0.3">
      <c r="A505" s="9">
        <v>46023</v>
      </c>
      <c r="B505" s="45" t="s">
        <v>134</v>
      </c>
      <c r="C505" s="10">
        <v>240000</v>
      </c>
      <c r="D505" t="s">
        <v>52</v>
      </c>
      <c r="E505" t="s">
        <v>95</v>
      </c>
      <c r="F505" t="s">
        <v>132</v>
      </c>
      <c r="G505"/>
      <c r="H505" s="11"/>
      <c r="I5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5">
        <v>2</v>
      </c>
      <c r="K5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5">
        <v>1</v>
      </c>
    </row>
    <row r="506" spans="1:12" hidden="1" x14ac:dyDescent="0.3">
      <c r="A506" s="9">
        <v>46023</v>
      </c>
      <c r="B506" s="45" t="s">
        <v>129</v>
      </c>
      <c r="C506" s="10">
        <v>145000</v>
      </c>
      <c r="D506" t="s">
        <v>52</v>
      </c>
      <c r="E506" t="s">
        <v>95</v>
      </c>
      <c r="F506" t="s">
        <v>132</v>
      </c>
      <c r="G506"/>
      <c r="H506" s="11"/>
      <c r="I50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6">
        <v>2</v>
      </c>
      <c r="K50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6">
        <v>1</v>
      </c>
    </row>
    <row r="507" spans="1:12" hidden="1" x14ac:dyDescent="0.3">
      <c r="A507" s="9">
        <v>46023</v>
      </c>
      <c r="B507" s="45" t="s">
        <v>154</v>
      </c>
      <c r="C507" s="10">
        <v>17474</v>
      </c>
      <c r="D507" t="s">
        <v>118</v>
      </c>
      <c r="E507" t="s">
        <v>95</v>
      </c>
      <c r="F507" t="s">
        <v>137</v>
      </c>
      <c r="G507">
        <v>6</v>
      </c>
      <c r="H507" s="11">
        <v>2</v>
      </c>
      <c r="I50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7">
        <v>2</v>
      </c>
      <c r="K50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7">
        <v>1</v>
      </c>
    </row>
    <row r="508" spans="1:12" hidden="1" x14ac:dyDescent="0.3">
      <c r="A508" s="9">
        <v>46023</v>
      </c>
      <c r="B508" s="3" t="s">
        <v>157</v>
      </c>
      <c r="C508" s="10">
        <v>107000</v>
      </c>
      <c r="D508" t="s">
        <v>118</v>
      </c>
      <c r="E508" t="s">
        <v>95</v>
      </c>
      <c r="F508" t="s">
        <v>137</v>
      </c>
      <c r="G508">
        <v>1</v>
      </c>
      <c r="H508" s="11">
        <v>1</v>
      </c>
      <c r="I50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8">
        <v>2</v>
      </c>
      <c r="K50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8">
        <v>1</v>
      </c>
    </row>
    <row r="509" spans="1:12" hidden="1" x14ac:dyDescent="0.3">
      <c r="A509" s="9">
        <v>46023</v>
      </c>
      <c r="B509" s="45" t="s">
        <v>122</v>
      </c>
      <c r="C509" s="10">
        <v>44166</v>
      </c>
      <c r="D509" t="s">
        <v>118</v>
      </c>
      <c r="E509" t="s">
        <v>95</v>
      </c>
      <c r="F509" t="s">
        <v>137</v>
      </c>
      <c r="G509">
        <v>12</v>
      </c>
      <c r="H509" s="11">
        <v>10</v>
      </c>
      <c r="I50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09">
        <v>2</v>
      </c>
      <c r="K50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09">
        <v>1</v>
      </c>
    </row>
    <row r="510" spans="1:12" hidden="1" x14ac:dyDescent="0.3">
      <c r="A510" s="9">
        <v>46023</v>
      </c>
      <c r="B510" s="45" t="s">
        <v>139</v>
      </c>
      <c r="C510" s="10">
        <v>12666</v>
      </c>
      <c r="D510" t="s">
        <v>118</v>
      </c>
      <c r="E510" t="s">
        <v>95</v>
      </c>
      <c r="F510" t="s">
        <v>137</v>
      </c>
      <c r="G510">
        <v>9</v>
      </c>
      <c r="H510" s="11">
        <v>9</v>
      </c>
      <c r="I51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0">
        <v>2</v>
      </c>
      <c r="K51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0">
        <v>1</v>
      </c>
    </row>
    <row r="511" spans="1:12" hidden="1" x14ac:dyDescent="0.3">
      <c r="A511" s="9">
        <v>46023</v>
      </c>
      <c r="B511" s="45" t="s">
        <v>149</v>
      </c>
      <c r="C511" s="10">
        <v>13570</v>
      </c>
      <c r="D511" t="s">
        <v>118</v>
      </c>
      <c r="E511" t="s">
        <v>95</v>
      </c>
      <c r="F511" t="s">
        <v>132</v>
      </c>
      <c r="G511">
        <v>5</v>
      </c>
      <c r="H511" s="11">
        <v>5</v>
      </c>
      <c r="I5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1">
        <v>2</v>
      </c>
      <c r="K5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1">
        <v>1</v>
      </c>
    </row>
    <row r="512" spans="1:12" hidden="1" x14ac:dyDescent="0.3">
      <c r="A512" s="9">
        <v>46023</v>
      </c>
      <c r="B512" s="45" t="s">
        <v>153</v>
      </c>
      <c r="C512" s="10">
        <v>32000</v>
      </c>
      <c r="D512" t="s">
        <v>118</v>
      </c>
      <c r="E512" t="s">
        <v>95</v>
      </c>
      <c r="F512" t="s">
        <v>132</v>
      </c>
      <c r="G512">
        <v>12</v>
      </c>
      <c r="H512" s="11">
        <v>4</v>
      </c>
      <c r="I51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2">
        <v>2</v>
      </c>
      <c r="K5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2">
        <v>1</v>
      </c>
    </row>
    <row r="513" spans="1:12" hidden="1" x14ac:dyDescent="0.3">
      <c r="A513" s="9">
        <v>46023</v>
      </c>
      <c r="B513" s="45" t="s">
        <v>131</v>
      </c>
      <c r="C513" s="10">
        <v>70000</v>
      </c>
      <c r="D513" t="s">
        <v>16</v>
      </c>
      <c r="E513" t="s">
        <v>95</v>
      </c>
      <c r="F513" t="s">
        <v>137</v>
      </c>
      <c r="G513">
        <v>12</v>
      </c>
      <c r="H513" s="11">
        <v>9</v>
      </c>
      <c r="I51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3">
        <v>2</v>
      </c>
      <c r="K51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3">
        <v>1</v>
      </c>
    </row>
    <row r="514" spans="1:12" hidden="1" x14ac:dyDescent="0.3">
      <c r="A514" s="9">
        <v>46023</v>
      </c>
      <c r="B514" s="45" t="s">
        <v>97</v>
      </c>
      <c r="C514" s="10">
        <v>90615</v>
      </c>
      <c r="D514" t="s">
        <v>97</v>
      </c>
      <c r="E514" t="s">
        <v>95</v>
      </c>
      <c r="F514" t="s">
        <v>132</v>
      </c>
      <c r="G514"/>
      <c r="H514" s="11"/>
      <c r="I51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4">
        <v>2</v>
      </c>
      <c r="K51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14">
        <v>3</v>
      </c>
    </row>
    <row r="515" spans="1:12" hidden="1" x14ac:dyDescent="0.3">
      <c r="A515" s="9">
        <v>46023</v>
      </c>
      <c r="B515" s="45" t="s">
        <v>130</v>
      </c>
      <c r="C515" s="10">
        <v>42000</v>
      </c>
      <c r="D515" t="s">
        <v>38</v>
      </c>
      <c r="E515" t="s">
        <v>95</v>
      </c>
      <c r="F515" t="s">
        <v>132</v>
      </c>
      <c r="G515"/>
      <c r="H515" s="11"/>
      <c r="I51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5">
        <v>2</v>
      </c>
      <c r="K51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5">
        <v>1</v>
      </c>
    </row>
    <row r="516" spans="1:12" hidden="1" x14ac:dyDescent="0.3">
      <c r="A516" s="9">
        <v>46023</v>
      </c>
      <c r="B516" s="45" t="s">
        <v>141</v>
      </c>
      <c r="C516" s="10">
        <v>166413</v>
      </c>
      <c r="D516" t="s">
        <v>38</v>
      </c>
      <c r="E516" t="s">
        <v>95</v>
      </c>
      <c r="F516" t="s">
        <v>132</v>
      </c>
      <c r="G516"/>
      <c r="H516" s="11"/>
      <c r="I51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6">
        <v>2</v>
      </c>
      <c r="K51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16">
        <v>1</v>
      </c>
    </row>
    <row r="517" spans="1:12" hidden="1" x14ac:dyDescent="0.3">
      <c r="A517" s="9">
        <v>46023</v>
      </c>
      <c r="B517" s="45" t="s">
        <v>102</v>
      </c>
      <c r="C517" s="10">
        <v>9122</v>
      </c>
      <c r="D517" t="s">
        <v>27</v>
      </c>
      <c r="E517" t="s">
        <v>95</v>
      </c>
      <c r="F517" t="s">
        <v>132</v>
      </c>
      <c r="G517"/>
      <c r="H517" s="11"/>
      <c r="I51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7">
        <v>2</v>
      </c>
      <c r="K51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17">
        <v>3</v>
      </c>
    </row>
    <row r="518" spans="1:12" hidden="1" x14ac:dyDescent="0.3">
      <c r="A518" s="9">
        <v>46023</v>
      </c>
      <c r="B518" s="45" t="s">
        <v>103</v>
      </c>
      <c r="C518" s="10">
        <v>2000</v>
      </c>
      <c r="D518" t="s">
        <v>27</v>
      </c>
      <c r="E518" t="s">
        <v>95</v>
      </c>
      <c r="F518" t="s">
        <v>132</v>
      </c>
      <c r="G518"/>
      <c r="H518" s="11"/>
      <c r="I51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8">
        <v>2</v>
      </c>
      <c r="K51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18">
        <v>3</v>
      </c>
    </row>
    <row r="519" spans="1:12" hidden="1" x14ac:dyDescent="0.3">
      <c r="A519" s="9">
        <v>46023</v>
      </c>
      <c r="B519" s="45" t="s">
        <v>104</v>
      </c>
      <c r="C519" s="10">
        <v>3391</v>
      </c>
      <c r="D519" t="s">
        <v>27</v>
      </c>
      <c r="E519" t="s">
        <v>95</v>
      </c>
      <c r="F519" t="s">
        <v>132</v>
      </c>
      <c r="G519"/>
      <c r="H519" s="11"/>
      <c r="I51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19">
        <v>2</v>
      </c>
      <c r="K51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19">
        <v>3</v>
      </c>
    </row>
    <row r="520" spans="1:12" hidden="1" x14ac:dyDescent="0.3">
      <c r="A520" s="9">
        <v>46023</v>
      </c>
      <c r="B520" s="45" t="s">
        <v>96</v>
      </c>
      <c r="C520" s="10">
        <v>1904</v>
      </c>
      <c r="D520" t="s">
        <v>27</v>
      </c>
      <c r="E520" t="s">
        <v>95</v>
      </c>
      <c r="F520" t="s">
        <v>132</v>
      </c>
      <c r="G520"/>
      <c r="H520" s="11"/>
      <c r="I52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20">
        <v>2</v>
      </c>
      <c r="K52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0">
        <v>3</v>
      </c>
    </row>
    <row r="521" spans="1:12" hidden="1" x14ac:dyDescent="0.3">
      <c r="A521" s="9">
        <v>46023</v>
      </c>
      <c r="B521" s="45" t="s">
        <v>151</v>
      </c>
      <c r="C521" s="10">
        <v>0</v>
      </c>
      <c r="D521" t="s">
        <v>27</v>
      </c>
      <c r="E521" t="s">
        <v>95</v>
      </c>
      <c r="F521" t="s">
        <v>132</v>
      </c>
      <c r="G521"/>
      <c r="H521" s="11"/>
      <c r="I52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21">
        <v>2</v>
      </c>
      <c r="K52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1">
        <v>3</v>
      </c>
    </row>
    <row r="522" spans="1:12" hidden="1" x14ac:dyDescent="0.3">
      <c r="A522" s="9">
        <v>46023</v>
      </c>
      <c r="B522" s="45" t="s">
        <v>143</v>
      </c>
      <c r="C522" s="10">
        <v>8400</v>
      </c>
      <c r="D522" t="s">
        <v>27</v>
      </c>
      <c r="E522" t="s">
        <v>95</v>
      </c>
      <c r="F522" t="s">
        <v>132</v>
      </c>
      <c r="G522"/>
      <c r="H522" s="11"/>
      <c r="I5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22">
        <v>2</v>
      </c>
      <c r="K52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2">
        <v>3</v>
      </c>
    </row>
    <row r="523" spans="1:12" hidden="1" x14ac:dyDescent="0.3">
      <c r="A523" s="9">
        <v>46023</v>
      </c>
      <c r="B523" s="45" t="s">
        <v>18</v>
      </c>
      <c r="C523" s="10">
        <v>114250</v>
      </c>
      <c r="D523" t="s">
        <v>19</v>
      </c>
      <c r="E523" t="s">
        <v>95</v>
      </c>
      <c r="F523" t="s">
        <v>132</v>
      </c>
      <c r="G523"/>
      <c r="H523" s="11"/>
      <c r="I52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3">
        <v>1</v>
      </c>
      <c r="K52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3">
        <v>3</v>
      </c>
    </row>
    <row r="524" spans="1:12" hidden="1" x14ac:dyDescent="0.3">
      <c r="A524" s="9">
        <v>46023</v>
      </c>
      <c r="B524" s="45" t="s">
        <v>133</v>
      </c>
      <c r="C524" s="10">
        <v>164667</v>
      </c>
      <c r="D524" t="s">
        <v>19</v>
      </c>
      <c r="E524" t="s">
        <v>95</v>
      </c>
      <c r="F524" t="s">
        <v>132</v>
      </c>
      <c r="G524"/>
      <c r="H524" s="11"/>
      <c r="I52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4">
        <v>1</v>
      </c>
      <c r="K52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4">
        <v>3</v>
      </c>
    </row>
    <row r="525" spans="1:12" hidden="1" x14ac:dyDescent="0.3">
      <c r="A525" s="9">
        <v>46023</v>
      </c>
      <c r="B525" s="45" t="s">
        <v>86</v>
      </c>
      <c r="C525" s="10">
        <v>161000</v>
      </c>
      <c r="D525" t="s">
        <v>16</v>
      </c>
      <c r="E525" t="s">
        <v>95</v>
      </c>
      <c r="F525" t="s">
        <v>132</v>
      </c>
      <c r="G525"/>
      <c r="H525" s="11"/>
      <c r="I52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5">
        <v>1</v>
      </c>
      <c r="K52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5">
        <v>3</v>
      </c>
    </row>
    <row r="526" spans="1:12" hidden="1" x14ac:dyDescent="0.3">
      <c r="A526" s="9">
        <v>46023</v>
      </c>
      <c r="B526" s="45" t="s">
        <v>37</v>
      </c>
      <c r="C526" s="10">
        <v>30000</v>
      </c>
      <c r="D526" t="s">
        <v>38</v>
      </c>
      <c r="E526" t="s">
        <v>95</v>
      </c>
      <c r="F526" t="s">
        <v>132</v>
      </c>
      <c r="G526"/>
      <c r="H526" s="11"/>
      <c r="I52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6">
        <v>1</v>
      </c>
      <c r="K52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6">
        <v>3</v>
      </c>
    </row>
    <row r="527" spans="1:12" hidden="1" x14ac:dyDescent="0.3">
      <c r="A527" s="9">
        <v>46023</v>
      </c>
      <c r="B527" s="45" t="s">
        <v>98</v>
      </c>
      <c r="C527" s="10">
        <v>10000</v>
      </c>
      <c r="D527" t="s">
        <v>23</v>
      </c>
      <c r="E527" t="s">
        <v>95</v>
      </c>
      <c r="F527" t="s">
        <v>132</v>
      </c>
      <c r="G527"/>
      <c r="H527" s="11"/>
      <c r="I52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7">
        <v>1</v>
      </c>
      <c r="K52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7">
        <v>3</v>
      </c>
    </row>
    <row r="528" spans="1:12" hidden="1" x14ac:dyDescent="0.3">
      <c r="A528" s="9">
        <v>46023</v>
      </c>
      <c r="B528" s="45" t="s">
        <v>156</v>
      </c>
      <c r="C528" s="10">
        <v>44256</v>
      </c>
      <c r="D528" t="s">
        <v>23</v>
      </c>
      <c r="E528" t="s">
        <v>95</v>
      </c>
      <c r="F528" t="s">
        <v>132</v>
      </c>
      <c r="G528"/>
      <c r="H528" s="11"/>
      <c r="I52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28">
        <v>2</v>
      </c>
      <c r="K52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28">
        <v>1</v>
      </c>
    </row>
    <row r="529" spans="1:13" hidden="1" x14ac:dyDescent="0.3">
      <c r="A529" s="9">
        <v>46023</v>
      </c>
      <c r="B529" s="45" t="s">
        <v>100</v>
      </c>
      <c r="C529" s="10">
        <v>28313</v>
      </c>
      <c r="D529" t="s">
        <v>23</v>
      </c>
      <c r="E529" t="s">
        <v>95</v>
      </c>
      <c r="F529" t="s">
        <v>132</v>
      </c>
      <c r="G529"/>
      <c r="H529" s="11"/>
      <c r="I52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29">
        <v>1</v>
      </c>
      <c r="K52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29">
        <v>3</v>
      </c>
    </row>
    <row r="530" spans="1:13" hidden="1" x14ac:dyDescent="0.3">
      <c r="A530" s="9">
        <v>46023</v>
      </c>
      <c r="B530" s="3" t="s">
        <v>158</v>
      </c>
      <c r="C530" s="10">
        <v>55000</v>
      </c>
      <c r="D530" t="s">
        <v>16</v>
      </c>
      <c r="E530" t="s">
        <v>95</v>
      </c>
      <c r="F530" t="s">
        <v>132</v>
      </c>
      <c r="G530"/>
      <c r="H530" s="11"/>
      <c r="I53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30">
        <v>1</v>
      </c>
      <c r="K53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0">
        <v>1</v>
      </c>
    </row>
    <row r="531" spans="1:13" hidden="1" x14ac:dyDescent="0.3">
      <c r="A531" s="9">
        <v>46054</v>
      </c>
      <c r="B531" s="45" t="s">
        <v>34</v>
      </c>
      <c r="C531" s="46">
        <v>2439396</v>
      </c>
      <c r="D531" t="s">
        <v>35</v>
      </c>
      <c r="E531" t="s">
        <v>35</v>
      </c>
      <c r="F531" t="s">
        <v>135</v>
      </c>
      <c r="G531"/>
      <c r="H531" s="11"/>
      <c r="I53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531">
        <v>4</v>
      </c>
      <c r="K53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531">
        <v>4</v>
      </c>
    </row>
    <row r="532" spans="1:13" hidden="1" x14ac:dyDescent="0.3">
      <c r="A532" s="9">
        <v>46054</v>
      </c>
      <c r="B532" s="45" t="s">
        <v>36</v>
      </c>
      <c r="C532" s="10">
        <v>81645</v>
      </c>
      <c r="D532" t="s">
        <v>35</v>
      </c>
      <c r="E532" t="s">
        <v>35</v>
      </c>
      <c r="F532" t="s">
        <v>135</v>
      </c>
      <c r="G532"/>
      <c r="H532" s="11"/>
      <c r="I532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532">
        <v>4</v>
      </c>
      <c r="K532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532">
        <v>4</v>
      </c>
    </row>
    <row r="533" spans="1:13" hidden="1" x14ac:dyDescent="0.3">
      <c r="A533" s="9">
        <v>46054</v>
      </c>
      <c r="B533" s="45" t="s">
        <v>146</v>
      </c>
      <c r="C533" s="10">
        <v>370386</v>
      </c>
      <c r="D533" t="s">
        <v>146</v>
      </c>
      <c r="E533" t="s">
        <v>95</v>
      </c>
      <c r="F533" t="s">
        <v>137</v>
      </c>
      <c r="G533">
        <v>48</v>
      </c>
      <c r="H533" s="11">
        <v>4</v>
      </c>
      <c r="I53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3">
        <v>2</v>
      </c>
      <c r="K53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3">
        <v>1</v>
      </c>
    </row>
    <row r="534" spans="1:13" hidden="1" x14ac:dyDescent="0.3">
      <c r="A534" s="9">
        <v>46054</v>
      </c>
      <c r="B534" s="45" t="s">
        <v>148</v>
      </c>
      <c r="C534" s="10">
        <v>54838</v>
      </c>
      <c r="D534" t="s">
        <v>146</v>
      </c>
      <c r="E534" t="s">
        <v>95</v>
      </c>
      <c r="F534" t="s">
        <v>132</v>
      </c>
      <c r="G534"/>
      <c r="H534" s="11"/>
      <c r="I53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4">
        <v>2</v>
      </c>
      <c r="K53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4">
        <v>1</v>
      </c>
      <c r="M534" t="s">
        <v>159</v>
      </c>
    </row>
    <row r="535" spans="1:13" hidden="1" x14ac:dyDescent="0.3">
      <c r="A535" s="9">
        <v>46054</v>
      </c>
      <c r="B535" s="45" t="s">
        <v>134</v>
      </c>
      <c r="C535" s="10">
        <v>240000</v>
      </c>
      <c r="D535" t="s">
        <v>52</v>
      </c>
      <c r="E535" t="s">
        <v>95</v>
      </c>
      <c r="F535" t="s">
        <v>132</v>
      </c>
      <c r="G535"/>
      <c r="H535" s="11"/>
      <c r="I53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5">
        <v>2</v>
      </c>
      <c r="K53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5">
        <v>1</v>
      </c>
      <c r="M535" t="s">
        <v>159</v>
      </c>
    </row>
    <row r="536" spans="1:13" hidden="1" x14ac:dyDescent="0.3">
      <c r="A536" s="9">
        <v>46054</v>
      </c>
      <c r="B536" s="45" t="s">
        <v>129</v>
      </c>
      <c r="C536" s="10">
        <v>145000</v>
      </c>
      <c r="D536" t="s">
        <v>52</v>
      </c>
      <c r="E536" t="s">
        <v>95</v>
      </c>
      <c r="F536" t="s">
        <v>132</v>
      </c>
      <c r="G536"/>
      <c r="H536" s="11"/>
      <c r="I53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6">
        <v>2</v>
      </c>
      <c r="K5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6">
        <v>1</v>
      </c>
      <c r="M536" t="s">
        <v>159</v>
      </c>
    </row>
    <row r="537" spans="1:13" hidden="1" x14ac:dyDescent="0.3">
      <c r="A537" s="9">
        <v>46054</v>
      </c>
      <c r="B537" s="45" t="s">
        <v>154</v>
      </c>
      <c r="C537" s="10">
        <v>17474</v>
      </c>
      <c r="D537" t="s">
        <v>118</v>
      </c>
      <c r="E537" t="s">
        <v>95</v>
      </c>
      <c r="F537" t="s">
        <v>137</v>
      </c>
      <c r="G537">
        <v>6</v>
      </c>
      <c r="H537" s="11">
        <v>3</v>
      </c>
      <c r="I53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7">
        <v>2</v>
      </c>
      <c r="K53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7">
        <v>1</v>
      </c>
      <c r="M537" t="s">
        <v>160</v>
      </c>
    </row>
    <row r="538" spans="1:13" hidden="1" x14ac:dyDescent="0.3">
      <c r="A538" s="9">
        <v>46054</v>
      </c>
      <c r="B538" s="45" t="s">
        <v>122</v>
      </c>
      <c r="C538" s="10">
        <v>44166</v>
      </c>
      <c r="D538" t="s">
        <v>118</v>
      </c>
      <c r="E538" t="s">
        <v>95</v>
      </c>
      <c r="F538" t="s">
        <v>137</v>
      </c>
      <c r="G538">
        <v>12</v>
      </c>
      <c r="H538" s="11">
        <v>11</v>
      </c>
      <c r="I53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8">
        <v>2</v>
      </c>
      <c r="K53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8">
        <v>1</v>
      </c>
      <c r="M538" t="s">
        <v>161</v>
      </c>
    </row>
    <row r="539" spans="1:13" hidden="1" x14ac:dyDescent="0.3">
      <c r="A539" s="9">
        <v>46054</v>
      </c>
      <c r="B539" s="45" t="s">
        <v>153</v>
      </c>
      <c r="C539" s="10">
        <v>32000</v>
      </c>
      <c r="D539" t="s">
        <v>118</v>
      </c>
      <c r="E539" t="s">
        <v>95</v>
      </c>
      <c r="F539" t="s">
        <v>137</v>
      </c>
      <c r="G539">
        <v>12</v>
      </c>
      <c r="H539" s="11">
        <v>4</v>
      </c>
      <c r="I53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39">
        <v>2</v>
      </c>
      <c r="K5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39">
        <v>1</v>
      </c>
      <c r="M539" t="s">
        <v>162</v>
      </c>
    </row>
    <row r="540" spans="1:13" hidden="1" x14ac:dyDescent="0.3">
      <c r="A540" s="9">
        <v>46054</v>
      </c>
      <c r="B540" s="45" t="s">
        <v>131</v>
      </c>
      <c r="C540" s="10">
        <v>70000</v>
      </c>
      <c r="D540" t="s">
        <v>16</v>
      </c>
      <c r="E540" t="s">
        <v>95</v>
      </c>
      <c r="F540" t="s">
        <v>137</v>
      </c>
      <c r="G540">
        <v>12</v>
      </c>
      <c r="H540" s="11">
        <v>10</v>
      </c>
      <c r="I54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0">
        <v>2</v>
      </c>
      <c r="K5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0">
        <v>1</v>
      </c>
      <c r="M540" t="s">
        <v>159</v>
      </c>
    </row>
    <row r="541" spans="1:13" hidden="1" x14ac:dyDescent="0.3">
      <c r="A541" s="9">
        <v>46054</v>
      </c>
      <c r="B541" s="45" t="s">
        <v>97</v>
      </c>
      <c r="C541" s="10">
        <v>90615</v>
      </c>
      <c r="D541" t="s">
        <v>97</v>
      </c>
      <c r="E541" t="s">
        <v>95</v>
      </c>
      <c r="F541" t="s">
        <v>132</v>
      </c>
      <c r="G541"/>
      <c r="H541" s="11"/>
      <c r="I54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1">
        <v>2</v>
      </c>
      <c r="K54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1">
        <v>1</v>
      </c>
    </row>
    <row r="542" spans="1:13" hidden="1" x14ac:dyDescent="0.3">
      <c r="A542" s="9">
        <v>46054</v>
      </c>
      <c r="B542" s="45" t="s">
        <v>130</v>
      </c>
      <c r="C542" s="10">
        <v>50000</v>
      </c>
      <c r="D542" t="s">
        <v>38</v>
      </c>
      <c r="E542" t="s">
        <v>95</v>
      </c>
      <c r="F542" t="s">
        <v>132</v>
      </c>
      <c r="G542"/>
      <c r="H542" s="11"/>
      <c r="I54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2">
        <v>2</v>
      </c>
      <c r="K5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2">
        <v>1</v>
      </c>
      <c r="M542" t="s">
        <v>159</v>
      </c>
    </row>
    <row r="543" spans="1:13" hidden="1" x14ac:dyDescent="0.3">
      <c r="A543" s="9">
        <v>46054</v>
      </c>
      <c r="B543" s="45" t="s">
        <v>141</v>
      </c>
      <c r="C543" s="10">
        <v>171560</v>
      </c>
      <c r="D543" t="s">
        <v>38</v>
      </c>
      <c r="E543" t="s">
        <v>95</v>
      </c>
      <c r="F543" t="s">
        <v>132</v>
      </c>
      <c r="G543"/>
      <c r="H543" s="11"/>
      <c r="I54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3">
        <v>2</v>
      </c>
      <c r="K54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3">
        <v>1</v>
      </c>
      <c r="M543" t="s">
        <v>159</v>
      </c>
    </row>
    <row r="544" spans="1:13" hidden="1" x14ac:dyDescent="0.3">
      <c r="A544" s="9">
        <v>46054</v>
      </c>
      <c r="B544" s="45" t="s">
        <v>102</v>
      </c>
      <c r="C544" s="10">
        <v>19122</v>
      </c>
      <c r="D544" t="s">
        <v>27</v>
      </c>
      <c r="E544" t="s">
        <v>95</v>
      </c>
      <c r="F544" t="s">
        <v>132</v>
      </c>
      <c r="G544"/>
      <c r="H544" s="11"/>
      <c r="I54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4">
        <v>2</v>
      </c>
      <c r="K5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4">
        <v>1</v>
      </c>
      <c r="M544" t="s">
        <v>159</v>
      </c>
    </row>
    <row r="545" spans="1:13" hidden="1" x14ac:dyDescent="0.3">
      <c r="A545" s="9">
        <v>46054</v>
      </c>
      <c r="B545" s="45" t="s">
        <v>103</v>
      </c>
      <c r="C545" s="10">
        <v>2000</v>
      </c>
      <c r="D545" t="s">
        <v>27</v>
      </c>
      <c r="E545" t="s">
        <v>95</v>
      </c>
      <c r="F545" t="s">
        <v>132</v>
      </c>
      <c r="G545"/>
      <c r="H545" s="11"/>
      <c r="I54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5">
        <v>2</v>
      </c>
      <c r="K5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5">
        <v>1</v>
      </c>
      <c r="M545" t="s">
        <v>159</v>
      </c>
    </row>
    <row r="546" spans="1:13" hidden="1" x14ac:dyDescent="0.3">
      <c r="A546" s="9">
        <v>46054</v>
      </c>
      <c r="B546" s="45" t="s">
        <v>104</v>
      </c>
      <c r="C546" s="10">
        <v>3391</v>
      </c>
      <c r="D546" t="s">
        <v>27</v>
      </c>
      <c r="E546" t="s">
        <v>95</v>
      </c>
      <c r="F546" t="s">
        <v>132</v>
      </c>
      <c r="G546"/>
      <c r="H546" s="11"/>
      <c r="I54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6">
        <v>2</v>
      </c>
      <c r="K5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6">
        <v>1</v>
      </c>
      <c r="M546" t="s">
        <v>159</v>
      </c>
    </row>
    <row r="547" spans="1:13" hidden="1" x14ac:dyDescent="0.3">
      <c r="A547" s="9">
        <v>46054</v>
      </c>
      <c r="B547" s="45" t="s">
        <v>96</v>
      </c>
      <c r="C547" s="10">
        <v>1904</v>
      </c>
      <c r="D547" t="s">
        <v>27</v>
      </c>
      <c r="E547" t="s">
        <v>95</v>
      </c>
      <c r="F547" t="s">
        <v>132</v>
      </c>
      <c r="G547"/>
      <c r="H547" s="11"/>
      <c r="I54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7">
        <v>2</v>
      </c>
      <c r="K5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7">
        <v>1</v>
      </c>
      <c r="M547" t="s">
        <v>159</v>
      </c>
    </row>
    <row r="548" spans="1:13" hidden="1" x14ac:dyDescent="0.3">
      <c r="A548" s="9">
        <v>46054</v>
      </c>
      <c r="B548" s="45" t="s">
        <v>151</v>
      </c>
      <c r="C548" s="10">
        <v>0</v>
      </c>
      <c r="D548" t="s">
        <v>27</v>
      </c>
      <c r="E548" t="s">
        <v>95</v>
      </c>
      <c r="F548" t="s">
        <v>132</v>
      </c>
      <c r="G548"/>
      <c r="H548" s="11"/>
      <c r="I54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8">
        <v>2</v>
      </c>
      <c r="K54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8">
        <v>1</v>
      </c>
      <c r="M548" t="s">
        <v>159</v>
      </c>
    </row>
    <row r="549" spans="1:13" hidden="1" x14ac:dyDescent="0.3">
      <c r="A549" s="9">
        <v>46054</v>
      </c>
      <c r="B549" s="45" t="s">
        <v>143</v>
      </c>
      <c r="C549" s="10">
        <v>0</v>
      </c>
      <c r="D549" t="s">
        <v>27</v>
      </c>
      <c r="E549" t="s">
        <v>95</v>
      </c>
      <c r="F549" t="s">
        <v>132</v>
      </c>
      <c r="G549"/>
      <c r="H549" s="11"/>
      <c r="I54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49">
        <v>2</v>
      </c>
      <c r="K5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49">
        <v>1</v>
      </c>
      <c r="M549" t="s">
        <v>159</v>
      </c>
    </row>
    <row r="550" spans="1:13" hidden="1" x14ac:dyDescent="0.3">
      <c r="A550" s="9">
        <v>46054</v>
      </c>
      <c r="B550" s="45" t="s">
        <v>18</v>
      </c>
      <c r="C550" s="10">
        <v>114250</v>
      </c>
      <c r="D550" t="s">
        <v>19</v>
      </c>
      <c r="E550" t="s">
        <v>95</v>
      </c>
      <c r="F550" t="s">
        <v>132</v>
      </c>
      <c r="G550"/>
      <c r="H550" s="11"/>
      <c r="I55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0">
        <v>1</v>
      </c>
      <c r="K5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0">
        <v>1</v>
      </c>
      <c r="M550" t="s">
        <v>159</v>
      </c>
    </row>
    <row r="551" spans="1:13" hidden="1" x14ac:dyDescent="0.3">
      <c r="A551" s="9">
        <v>46054</v>
      </c>
      <c r="B551" s="45" t="s">
        <v>133</v>
      </c>
      <c r="C551" s="10">
        <v>164667</v>
      </c>
      <c r="D551" t="s">
        <v>19</v>
      </c>
      <c r="E551" t="s">
        <v>95</v>
      </c>
      <c r="F551" t="s">
        <v>132</v>
      </c>
      <c r="G551"/>
      <c r="H551" s="11"/>
      <c r="I55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1">
        <v>1</v>
      </c>
      <c r="K5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1">
        <v>1</v>
      </c>
      <c r="M551" t="s">
        <v>159</v>
      </c>
    </row>
    <row r="552" spans="1:13" hidden="1" x14ac:dyDescent="0.3">
      <c r="A552" s="9">
        <v>46054</v>
      </c>
      <c r="B552" s="45" t="s">
        <v>86</v>
      </c>
      <c r="C552" s="10">
        <v>170500</v>
      </c>
      <c r="D552" t="s">
        <v>16</v>
      </c>
      <c r="E552" t="s">
        <v>95</v>
      </c>
      <c r="F552" t="s">
        <v>132</v>
      </c>
      <c r="G552"/>
      <c r="H552" s="11"/>
      <c r="I55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2">
        <v>1</v>
      </c>
      <c r="K5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2">
        <v>1</v>
      </c>
      <c r="M552" t="s">
        <v>159</v>
      </c>
    </row>
    <row r="553" spans="1:13" hidden="1" x14ac:dyDescent="0.3">
      <c r="A553" s="9">
        <v>46054</v>
      </c>
      <c r="B553" s="45" t="s">
        <v>37</v>
      </c>
      <c r="C553" s="10">
        <v>37500</v>
      </c>
      <c r="D553" t="s">
        <v>38</v>
      </c>
      <c r="E553" t="s">
        <v>95</v>
      </c>
      <c r="F553" t="s">
        <v>132</v>
      </c>
      <c r="G553"/>
      <c r="H553" s="11"/>
      <c r="I55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3">
        <v>1</v>
      </c>
      <c r="K55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3">
        <v>1</v>
      </c>
      <c r="M553" t="s">
        <v>159</v>
      </c>
    </row>
    <row r="554" spans="1:13" hidden="1" x14ac:dyDescent="0.3">
      <c r="A554" s="9">
        <v>46054</v>
      </c>
      <c r="B554" s="45" t="s">
        <v>98</v>
      </c>
      <c r="C554" s="10">
        <v>10000</v>
      </c>
      <c r="D554" t="s">
        <v>23</v>
      </c>
      <c r="E554" t="s">
        <v>95</v>
      </c>
      <c r="F554" t="s">
        <v>132</v>
      </c>
      <c r="G554"/>
      <c r="H554" s="11"/>
      <c r="I55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4">
        <v>1</v>
      </c>
      <c r="K5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4">
        <v>1</v>
      </c>
      <c r="M554" t="s">
        <v>159</v>
      </c>
    </row>
    <row r="555" spans="1:13" hidden="1" x14ac:dyDescent="0.3">
      <c r="A555" s="9">
        <v>46054</v>
      </c>
      <c r="B555" s="45" t="s">
        <v>156</v>
      </c>
      <c r="C555" s="10">
        <v>44256</v>
      </c>
      <c r="D555" t="s">
        <v>23</v>
      </c>
      <c r="E555" t="s">
        <v>95</v>
      </c>
      <c r="F555" t="s">
        <v>137</v>
      </c>
      <c r="G555">
        <v>3</v>
      </c>
      <c r="H555" s="11">
        <v>2</v>
      </c>
      <c r="I55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55">
        <v>2</v>
      </c>
      <c r="K55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5">
        <v>1</v>
      </c>
      <c r="M555" t="s">
        <v>161</v>
      </c>
    </row>
    <row r="556" spans="1:13" hidden="1" x14ac:dyDescent="0.3">
      <c r="A556" s="9">
        <v>46054</v>
      </c>
      <c r="B556" s="45" t="s">
        <v>100</v>
      </c>
      <c r="C556" s="10">
        <v>28313</v>
      </c>
      <c r="D556" t="s">
        <v>23</v>
      </c>
      <c r="E556" t="s">
        <v>95</v>
      </c>
      <c r="F556" t="s">
        <v>132</v>
      </c>
      <c r="G556"/>
      <c r="H556" s="11"/>
      <c r="I55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6">
        <v>1</v>
      </c>
      <c r="K55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6">
        <v>1</v>
      </c>
      <c r="M556" t="s">
        <v>159</v>
      </c>
    </row>
    <row r="557" spans="1:13" hidden="1" x14ac:dyDescent="0.3">
      <c r="A557" s="9">
        <v>46054</v>
      </c>
      <c r="B557" s="45" t="s">
        <v>158</v>
      </c>
      <c r="C557" s="10">
        <v>40000</v>
      </c>
      <c r="D557" t="s">
        <v>16</v>
      </c>
      <c r="E557" t="s">
        <v>95</v>
      </c>
      <c r="F557" t="s">
        <v>132</v>
      </c>
      <c r="G557"/>
      <c r="H557" s="11"/>
      <c r="I55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57">
        <v>2</v>
      </c>
      <c r="K55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7">
        <v>1</v>
      </c>
      <c r="M557" t="s">
        <v>159</v>
      </c>
    </row>
    <row r="558" spans="1:13" hidden="1" x14ac:dyDescent="0.3">
      <c r="A558" s="9">
        <v>46054</v>
      </c>
      <c r="B558" s="3" t="s">
        <v>163</v>
      </c>
      <c r="C558" s="10">
        <v>40000</v>
      </c>
      <c r="D558" t="s">
        <v>118</v>
      </c>
      <c r="E558" t="s">
        <v>95</v>
      </c>
      <c r="F558" t="s">
        <v>132</v>
      </c>
      <c r="G558"/>
      <c r="H558" s="11"/>
      <c r="I55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58">
        <v>2</v>
      </c>
      <c r="K55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8">
        <v>1</v>
      </c>
      <c r="M558" t="s">
        <v>160</v>
      </c>
    </row>
    <row r="559" spans="1:13" hidden="1" x14ac:dyDescent="0.3">
      <c r="A559" s="9">
        <v>46054</v>
      </c>
      <c r="B559" s="3" t="s">
        <v>164</v>
      </c>
      <c r="C559" s="10">
        <v>23666</v>
      </c>
      <c r="D559" t="s">
        <v>118</v>
      </c>
      <c r="E559" t="s">
        <v>95</v>
      </c>
      <c r="F559" t="s">
        <v>137</v>
      </c>
      <c r="G559">
        <v>6</v>
      </c>
      <c r="H559" s="11">
        <v>1</v>
      </c>
      <c r="I55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59">
        <v>1</v>
      </c>
      <c r="K55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59">
        <v>1</v>
      </c>
      <c r="M559" t="s">
        <v>159</v>
      </c>
    </row>
    <row r="560" spans="1:13" hidden="1" x14ac:dyDescent="0.3">
      <c r="A560" s="9">
        <v>46054</v>
      </c>
      <c r="B560" s="3" t="s">
        <v>165</v>
      </c>
      <c r="C560" s="10">
        <v>143484</v>
      </c>
      <c r="D560" t="s">
        <v>118</v>
      </c>
      <c r="E560" t="s">
        <v>95</v>
      </c>
      <c r="F560" t="s">
        <v>132</v>
      </c>
      <c r="G560"/>
      <c r="H560" s="11"/>
      <c r="I56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0">
        <v>2</v>
      </c>
      <c r="K56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0">
        <v>1</v>
      </c>
      <c r="M560" t="s">
        <v>166</v>
      </c>
    </row>
    <row r="561" spans="1:15" hidden="1" x14ac:dyDescent="0.3">
      <c r="A561" s="9">
        <v>46054</v>
      </c>
      <c r="B561" s="3" t="s">
        <v>147</v>
      </c>
      <c r="C561" s="10">
        <v>92575</v>
      </c>
      <c r="D561" t="s">
        <v>146</v>
      </c>
      <c r="E561" t="s">
        <v>95</v>
      </c>
      <c r="F561" t="s">
        <v>137</v>
      </c>
      <c r="G561"/>
      <c r="H561" s="11"/>
      <c r="I56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1">
        <v>2</v>
      </c>
      <c r="K56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1">
        <v>1</v>
      </c>
      <c r="M561" t="s">
        <v>159</v>
      </c>
    </row>
    <row r="562" spans="1:15" hidden="1" x14ac:dyDescent="0.3">
      <c r="A562" s="9">
        <v>46054</v>
      </c>
      <c r="B562" s="3" t="s">
        <v>167</v>
      </c>
      <c r="C562" s="10">
        <v>18200</v>
      </c>
      <c r="D562" t="s">
        <v>23</v>
      </c>
      <c r="E562" t="s">
        <v>95</v>
      </c>
      <c r="F562" t="s">
        <v>132</v>
      </c>
      <c r="G562"/>
      <c r="H562" s="11"/>
      <c r="I56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2">
        <v>2</v>
      </c>
      <c r="K56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2">
        <v>1</v>
      </c>
      <c r="M562" t="s">
        <v>161</v>
      </c>
    </row>
    <row r="563" spans="1:15" hidden="1" x14ac:dyDescent="0.3">
      <c r="A563" s="9">
        <v>46054</v>
      </c>
      <c r="B563" s="3" t="s">
        <v>168</v>
      </c>
      <c r="C563" s="10">
        <v>34522</v>
      </c>
      <c r="D563" t="s">
        <v>118</v>
      </c>
      <c r="E563" t="s">
        <v>95</v>
      </c>
      <c r="F563" t="s">
        <v>132</v>
      </c>
      <c r="G563"/>
      <c r="H563" s="11"/>
      <c r="I56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3">
        <v>2</v>
      </c>
      <c r="K56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3">
        <v>1</v>
      </c>
      <c r="M563" t="s">
        <v>166</v>
      </c>
    </row>
    <row r="564" spans="1:15" hidden="1" x14ac:dyDescent="0.3">
      <c r="A564" s="9">
        <v>46082</v>
      </c>
      <c r="B564" s="45" t="s">
        <v>34</v>
      </c>
      <c r="C564" s="46">
        <v>2354442.2000000002</v>
      </c>
      <c r="D564" t="s">
        <v>35</v>
      </c>
      <c r="E564" t="s">
        <v>35</v>
      </c>
      <c r="F564" t="s">
        <v>135</v>
      </c>
      <c r="G564"/>
      <c r="H564" s="11"/>
      <c r="I564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564">
        <v>4</v>
      </c>
      <c r="K564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564">
        <v>4</v>
      </c>
    </row>
    <row r="565" spans="1:15" hidden="1" x14ac:dyDescent="0.3">
      <c r="A565" s="9">
        <v>46082</v>
      </c>
      <c r="B565" s="45" t="s">
        <v>36</v>
      </c>
      <c r="C565" s="10">
        <v>81645</v>
      </c>
      <c r="D565" t="s">
        <v>35</v>
      </c>
      <c r="E565" t="s">
        <v>35</v>
      </c>
      <c r="F565" t="s">
        <v>135</v>
      </c>
      <c r="G565"/>
      <c r="H565" s="11"/>
      <c r="I565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565">
        <v>4</v>
      </c>
      <c r="K565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565">
        <v>4</v>
      </c>
    </row>
    <row r="566" spans="1:15" hidden="1" x14ac:dyDescent="0.3">
      <c r="A566" s="9">
        <v>46082</v>
      </c>
      <c r="B566" s="45" t="s">
        <v>146</v>
      </c>
      <c r="C566" s="10">
        <v>250000</v>
      </c>
      <c r="D566" t="s">
        <v>146</v>
      </c>
      <c r="E566" t="s">
        <v>95</v>
      </c>
      <c r="F566" t="s">
        <v>137</v>
      </c>
      <c r="G566">
        <v>48</v>
      </c>
      <c r="H566" s="11">
        <v>4</v>
      </c>
      <c r="I56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6">
        <v>2</v>
      </c>
      <c r="K56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66">
        <v>3</v>
      </c>
      <c r="N566">
        <f>Cuentas_personales[[#This Row],[Importe]]-120000</f>
        <v>130000</v>
      </c>
      <c r="O566">
        <v>289975</v>
      </c>
    </row>
    <row r="567" spans="1:15" hidden="1" x14ac:dyDescent="0.3">
      <c r="A567" s="9">
        <v>46082</v>
      </c>
      <c r="B567" s="45" t="s">
        <v>148</v>
      </c>
      <c r="C567" s="10">
        <v>54838</v>
      </c>
      <c r="D567" t="s">
        <v>146</v>
      </c>
      <c r="E567" t="s">
        <v>95</v>
      </c>
      <c r="F567" t="s">
        <v>132</v>
      </c>
      <c r="G567"/>
      <c r="H567" s="11"/>
      <c r="I56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7">
        <v>2</v>
      </c>
      <c r="K56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7">
        <v>1</v>
      </c>
      <c r="M567" t="s">
        <v>169</v>
      </c>
    </row>
    <row r="568" spans="1:15" hidden="1" x14ac:dyDescent="0.3">
      <c r="A568" s="9">
        <v>46082</v>
      </c>
      <c r="B568" s="45" t="s">
        <v>134</v>
      </c>
      <c r="C568" s="10">
        <v>240000</v>
      </c>
      <c r="D568" t="s">
        <v>52</v>
      </c>
      <c r="E568" t="s">
        <v>95</v>
      </c>
      <c r="F568" t="s">
        <v>132</v>
      </c>
      <c r="G568"/>
      <c r="H568" s="11"/>
      <c r="I56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8">
        <v>2</v>
      </c>
      <c r="K56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8">
        <v>1</v>
      </c>
    </row>
    <row r="569" spans="1:15" hidden="1" x14ac:dyDescent="0.3">
      <c r="A569" s="9">
        <v>46082</v>
      </c>
      <c r="B569" s="45" t="s">
        <v>129</v>
      </c>
      <c r="C569" s="10">
        <v>145000</v>
      </c>
      <c r="D569" t="s">
        <v>52</v>
      </c>
      <c r="E569" t="s">
        <v>95</v>
      </c>
      <c r="F569" t="s">
        <v>132</v>
      </c>
      <c r="G569"/>
      <c r="H569" s="11"/>
      <c r="I56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69">
        <v>2</v>
      </c>
      <c r="K56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69">
        <v>1</v>
      </c>
    </row>
    <row r="570" spans="1:15" hidden="1" x14ac:dyDescent="0.3">
      <c r="A570" s="9">
        <v>46082</v>
      </c>
      <c r="B570" s="45" t="s">
        <v>154</v>
      </c>
      <c r="C570" s="10">
        <v>17474</v>
      </c>
      <c r="D570" t="s">
        <v>118</v>
      </c>
      <c r="E570" t="s">
        <v>95</v>
      </c>
      <c r="F570" t="s">
        <v>137</v>
      </c>
      <c r="G570">
        <v>6</v>
      </c>
      <c r="H570" s="11">
        <v>4</v>
      </c>
      <c r="I57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0">
        <v>2</v>
      </c>
      <c r="K57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0">
        <v>1</v>
      </c>
      <c r="M570" t="s">
        <v>169</v>
      </c>
    </row>
    <row r="571" spans="1:15" hidden="1" x14ac:dyDescent="0.3">
      <c r="A571" s="9">
        <v>46082</v>
      </c>
      <c r="B571" s="45" t="s">
        <v>122</v>
      </c>
      <c r="C571" s="10">
        <v>44166</v>
      </c>
      <c r="D571" t="s">
        <v>118</v>
      </c>
      <c r="E571" t="s">
        <v>95</v>
      </c>
      <c r="F571" t="s">
        <v>137</v>
      </c>
      <c r="G571">
        <v>12</v>
      </c>
      <c r="H571" s="11">
        <v>12</v>
      </c>
      <c r="I57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1">
        <v>2</v>
      </c>
      <c r="K5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1">
        <v>1</v>
      </c>
      <c r="M571" t="s">
        <v>170</v>
      </c>
    </row>
    <row r="572" spans="1:15" hidden="1" x14ac:dyDescent="0.3">
      <c r="A572" s="9">
        <v>46082</v>
      </c>
      <c r="B572" s="45" t="s">
        <v>153</v>
      </c>
      <c r="C572" s="10">
        <v>32000</v>
      </c>
      <c r="D572" t="s">
        <v>118</v>
      </c>
      <c r="E572" t="s">
        <v>95</v>
      </c>
      <c r="F572" t="s">
        <v>137</v>
      </c>
      <c r="G572">
        <v>12</v>
      </c>
      <c r="H572" s="11">
        <v>5</v>
      </c>
      <c r="I57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2">
        <v>2</v>
      </c>
      <c r="K57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2">
        <v>1</v>
      </c>
      <c r="M572" t="s">
        <v>171</v>
      </c>
    </row>
    <row r="573" spans="1:15" hidden="1" x14ac:dyDescent="0.3">
      <c r="A573" s="9">
        <v>46082</v>
      </c>
      <c r="B573" s="45" t="s">
        <v>131</v>
      </c>
      <c r="C573" s="10">
        <v>70000</v>
      </c>
      <c r="D573" t="s">
        <v>16</v>
      </c>
      <c r="E573" t="s">
        <v>95</v>
      </c>
      <c r="F573" t="s">
        <v>137</v>
      </c>
      <c r="G573">
        <v>12</v>
      </c>
      <c r="H573" s="11">
        <v>11</v>
      </c>
      <c r="I57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3">
        <v>2</v>
      </c>
      <c r="K57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3">
        <v>1</v>
      </c>
      <c r="M573" t="s">
        <v>170</v>
      </c>
    </row>
    <row r="574" spans="1:15" hidden="1" x14ac:dyDescent="0.3">
      <c r="A574" s="9">
        <v>46082</v>
      </c>
      <c r="B574" s="45" t="s">
        <v>97</v>
      </c>
      <c r="C574" s="10">
        <v>103561</v>
      </c>
      <c r="D574" t="s">
        <v>97</v>
      </c>
      <c r="E574" t="s">
        <v>95</v>
      </c>
      <c r="F574" t="s">
        <v>132</v>
      </c>
      <c r="G574"/>
      <c r="H574" s="11"/>
      <c r="I57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4">
        <v>2</v>
      </c>
      <c r="K57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74">
        <v>3</v>
      </c>
    </row>
    <row r="575" spans="1:15" hidden="1" x14ac:dyDescent="0.3">
      <c r="A575" s="9">
        <v>46082</v>
      </c>
      <c r="B575" s="45" t="s">
        <v>130</v>
      </c>
      <c r="C575" s="10"/>
      <c r="D575" t="s">
        <v>38</v>
      </c>
      <c r="E575" t="s">
        <v>95</v>
      </c>
      <c r="F575" t="s">
        <v>132</v>
      </c>
      <c r="G575"/>
      <c r="H575" s="11"/>
      <c r="I57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5">
        <v>2</v>
      </c>
      <c r="K57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75">
        <v>1</v>
      </c>
    </row>
    <row r="576" spans="1:15" hidden="1" x14ac:dyDescent="0.3">
      <c r="A576" s="9">
        <v>46082</v>
      </c>
      <c r="B576" s="45" t="s">
        <v>141</v>
      </c>
      <c r="C576" s="10">
        <v>171560</v>
      </c>
      <c r="D576" t="s">
        <v>38</v>
      </c>
      <c r="E576" t="s">
        <v>95</v>
      </c>
      <c r="F576" t="s">
        <v>132</v>
      </c>
      <c r="G576"/>
      <c r="H576" s="11"/>
      <c r="I57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6">
        <v>2</v>
      </c>
      <c r="K57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76">
        <v>3</v>
      </c>
    </row>
    <row r="577" spans="1:13" hidden="1" x14ac:dyDescent="0.3">
      <c r="A577" s="9">
        <v>46082</v>
      </c>
      <c r="B577" s="45" t="s">
        <v>102</v>
      </c>
      <c r="C577" s="10">
        <v>19122</v>
      </c>
      <c r="D577" t="s">
        <v>27</v>
      </c>
      <c r="E577" t="s">
        <v>95</v>
      </c>
      <c r="F577" t="s">
        <v>132</v>
      </c>
      <c r="G577"/>
      <c r="H577" s="11"/>
      <c r="I57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7">
        <v>2</v>
      </c>
      <c r="K57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77">
        <v>3</v>
      </c>
    </row>
    <row r="578" spans="1:13" hidden="1" x14ac:dyDescent="0.3">
      <c r="A578" s="9">
        <v>46082</v>
      </c>
      <c r="B578" s="45" t="s">
        <v>103</v>
      </c>
      <c r="C578" s="10">
        <v>2000</v>
      </c>
      <c r="D578" t="s">
        <v>27</v>
      </c>
      <c r="E578" t="s">
        <v>95</v>
      </c>
      <c r="F578" t="s">
        <v>132</v>
      </c>
      <c r="G578"/>
      <c r="H578" s="11"/>
      <c r="I57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8">
        <v>2</v>
      </c>
      <c r="K57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78">
        <v>3</v>
      </c>
    </row>
    <row r="579" spans="1:13" hidden="1" x14ac:dyDescent="0.3">
      <c r="A579" s="9">
        <v>46082</v>
      </c>
      <c r="B579" s="45" t="s">
        <v>104</v>
      </c>
      <c r="C579" s="10">
        <v>3391</v>
      </c>
      <c r="D579" t="s">
        <v>27</v>
      </c>
      <c r="E579" t="s">
        <v>95</v>
      </c>
      <c r="F579" t="s">
        <v>132</v>
      </c>
      <c r="G579"/>
      <c r="H579" s="11"/>
      <c r="I57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79">
        <v>2</v>
      </c>
      <c r="K57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79">
        <v>3</v>
      </c>
    </row>
    <row r="580" spans="1:13" hidden="1" x14ac:dyDescent="0.3">
      <c r="A580" s="9">
        <v>46082</v>
      </c>
      <c r="B580" s="45" t="s">
        <v>96</v>
      </c>
      <c r="C580" s="10">
        <v>1904</v>
      </c>
      <c r="D580" t="s">
        <v>27</v>
      </c>
      <c r="E580" t="s">
        <v>95</v>
      </c>
      <c r="F580" t="s">
        <v>132</v>
      </c>
      <c r="G580"/>
      <c r="H580" s="11"/>
      <c r="I58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80">
        <v>2</v>
      </c>
      <c r="K58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0">
        <v>3</v>
      </c>
    </row>
    <row r="581" spans="1:13" hidden="1" x14ac:dyDescent="0.3">
      <c r="A581" s="9">
        <v>46082</v>
      </c>
      <c r="B581" s="45" t="s">
        <v>151</v>
      </c>
      <c r="C581" s="10">
        <v>0</v>
      </c>
      <c r="D581" t="s">
        <v>27</v>
      </c>
      <c r="E581" t="s">
        <v>95</v>
      </c>
      <c r="F581" t="s">
        <v>132</v>
      </c>
      <c r="G581"/>
      <c r="H581" s="11"/>
      <c r="I5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81">
        <v>2</v>
      </c>
      <c r="K58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1">
        <v>3</v>
      </c>
    </row>
    <row r="582" spans="1:13" hidden="1" x14ac:dyDescent="0.3">
      <c r="A582" s="9">
        <v>46082</v>
      </c>
      <c r="B582" s="45" t="s">
        <v>143</v>
      </c>
      <c r="C582" s="10">
        <v>9800</v>
      </c>
      <c r="D582" t="s">
        <v>27</v>
      </c>
      <c r="E582" t="s">
        <v>95</v>
      </c>
      <c r="F582" t="s">
        <v>132</v>
      </c>
      <c r="G582"/>
      <c r="H582" s="11"/>
      <c r="I58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82">
        <v>2</v>
      </c>
      <c r="K58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2">
        <v>3</v>
      </c>
    </row>
    <row r="583" spans="1:13" hidden="1" x14ac:dyDescent="0.3">
      <c r="A583" s="9">
        <v>46082</v>
      </c>
      <c r="B583" s="45" t="s">
        <v>18</v>
      </c>
      <c r="C583" s="10">
        <v>114250</v>
      </c>
      <c r="D583" t="s">
        <v>19</v>
      </c>
      <c r="E583" t="s">
        <v>95</v>
      </c>
      <c r="F583" t="s">
        <v>132</v>
      </c>
      <c r="G583"/>
      <c r="H583" s="11"/>
      <c r="I58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3">
        <v>1</v>
      </c>
      <c r="K58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3">
        <v>3</v>
      </c>
    </row>
    <row r="584" spans="1:13" hidden="1" x14ac:dyDescent="0.3">
      <c r="A584" s="9">
        <v>46082</v>
      </c>
      <c r="B584" s="45" t="s">
        <v>133</v>
      </c>
      <c r="C584" s="10">
        <v>164667</v>
      </c>
      <c r="D584" t="s">
        <v>19</v>
      </c>
      <c r="E584" t="s">
        <v>95</v>
      </c>
      <c r="F584" t="s">
        <v>132</v>
      </c>
      <c r="G584"/>
      <c r="H584" s="11"/>
      <c r="I58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4">
        <v>1</v>
      </c>
      <c r="K58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4">
        <v>3</v>
      </c>
    </row>
    <row r="585" spans="1:13" hidden="1" x14ac:dyDescent="0.3">
      <c r="A585" s="9">
        <v>46082</v>
      </c>
      <c r="B585" s="45" t="s">
        <v>86</v>
      </c>
      <c r="C585" s="10">
        <v>170500</v>
      </c>
      <c r="D585" t="s">
        <v>16</v>
      </c>
      <c r="E585" t="s">
        <v>95</v>
      </c>
      <c r="F585" t="s">
        <v>132</v>
      </c>
      <c r="G585"/>
      <c r="H585" s="11"/>
      <c r="I58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5">
        <v>1</v>
      </c>
      <c r="K58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5">
        <v>3</v>
      </c>
    </row>
    <row r="586" spans="1:13" hidden="1" x14ac:dyDescent="0.3">
      <c r="A586" s="9">
        <v>46082</v>
      </c>
      <c r="B586" s="45" t="s">
        <v>37</v>
      </c>
      <c r="C586" s="10">
        <v>37500</v>
      </c>
      <c r="D586" t="s">
        <v>38</v>
      </c>
      <c r="E586" t="s">
        <v>95</v>
      </c>
      <c r="F586" t="s">
        <v>132</v>
      </c>
      <c r="G586"/>
      <c r="H586" s="11"/>
      <c r="I58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6">
        <v>1</v>
      </c>
      <c r="K58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6">
        <v>3</v>
      </c>
    </row>
    <row r="587" spans="1:13" hidden="1" x14ac:dyDescent="0.3">
      <c r="A587" s="9">
        <v>46082</v>
      </c>
      <c r="B587" s="45" t="s">
        <v>98</v>
      </c>
      <c r="C587" s="10">
        <v>10000</v>
      </c>
      <c r="D587" t="s">
        <v>23</v>
      </c>
      <c r="E587" t="s">
        <v>95</v>
      </c>
      <c r="F587" t="s">
        <v>132</v>
      </c>
      <c r="G587"/>
      <c r="H587" s="11"/>
      <c r="I58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7">
        <v>1</v>
      </c>
      <c r="K58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7">
        <v>3</v>
      </c>
    </row>
    <row r="588" spans="1:13" hidden="1" x14ac:dyDescent="0.3">
      <c r="A588" s="9">
        <v>46082</v>
      </c>
      <c r="B588" s="45" t="s">
        <v>156</v>
      </c>
      <c r="C588" s="10">
        <v>44256</v>
      </c>
      <c r="D588" t="s">
        <v>23</v>
      </c>
      <c r="E588" t="s">
        <v>95</v>
      </c>
      <c r="F588" t="s">
        <v>137</v>
      </c>
      <c r="G588">
        <v>3</v>
      </c>
      <c r="H588" s="11">
        <v>3</v>
      </c>
      <c r="I58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88">
        <v>2</v>
      </c>
      <c r="K58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88">
        <v>1</v>
      </c>
      <c r="M588" t="s">
        <v>170</v>
      </c>
    </row>
    <row r="589" spans="1:13" hidden="1" x14ac:dyDescent="0.3">
      <c r="A589" s="9">
        <v>46082</v>
      </c>
      <c r="B589" s="45" t="s">
        <v>100</v>
      </c>
      <c r="C589" s="10">
        <v>28313</v>
      </c>
      <c r="D589" t="s">
        <v>23</v>
      </c>
      <c r="E589" t="s">
        <v>95</v>
      </c>
      <c r="F589" t="s">
        <v>132</v>
      </c>
      <c r="G589"/>
      <c r="H589" s="11"/>
      <c r="I58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89">
        <v>1</v>
      </c>
      <c r="K58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89">
        <v>3</v>
      </c>
    </row>
    <row r="590" spans="1:13" hidden="1" x14ac:dyDescent="0.3">
      <c r="A590" s="9">
        <v>46082</v>
      </c>
      <c r="B590" s="45" t="s">
        <v>158</v>
      </c>
      <c r="C590" s="10">
        <v>40000</v>
      </c>
      <c r="D590" t="s">
        <v>16</v>
      </c>
      <c r="E590" t="s">
        <v>95</v>
      </c>
      <c r="F590" t="s">
        <v>132</v>
      </c>
      <c r="G590"/>
      <c r="H590" s="11"/>
      <c r="I59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0">
        <v>2</v>
      </c>
      <c r="K59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0">
        <v>1</v>
      </c>
    </row>
    <row r="591" spans="1:13" hidden="1" x14ac:dyDescent="0.3">
      <c r="A591" s="9">
        <v>46082</v>
      </c>
      <c r="B591" s="45" t="s">
        <v>164</v>
      </c>
      <c r="C591" s="10">
        <v>23666</v>
      </c>
      <c r="D591" t="s">
        <v>118</v>
      </c>
      <c r="E591" t="s">
        <v>95</v>
      </c>
      <c r="F591" t="s">
        <v>137</v>
      </c>
      <c r="G591">
        <v>6</v>
      </c>
      <c r="H591" s="11">
        <v>2</v>
      </c>
      <c r="I59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591">
        <v>1</v>
      </c>
      <c r="K59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591">
        <v>3</v>
      </c>
    </row>
    <row r="592" spans="1:13" hidden="1" x14ac:dyDescent="0.3">
      <c r="A592" s="9">
        <v>46082</v>
      </c>
      <c r="B592" s="45" t="s">
        <v>168</v>
      </c>
      <c r="C592" s="10">
        <v>18322</v>
      </c>
      <c r="D592" t="s">
        <v>118</v>
      </c>
      <c r="E592" t="s">
        <v>95</v>
      </c>
      <c r="F592" t="s">
        <v>137</v>
      </c>
      <c r="G592">
        <v>2</v>
      </c>
      <c r="H592" s="11">
        <v>3</v>
      </c>
      <c r="I59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2">
        <v>2</v>
      </c>
      <c r="K59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2">
        <v>1</v>
      </c>
      <c r="M592" t="s">
        <v>166</v>
      </c>
    </row>
    <row r="593" spans="1:13" hidden="1" x14ac:dyDescent="0.3">
      <c r="A593" s="9">
        <v>46082</v>
      </c>
      <c r="B593" s="3" t="s">
        <v>172</v>
      </c>
      <c r="C593" s="10">
        <v>16200</v>
      </c>
      <c r="D593" t="s">
        <v>118</v>
      </c>
      <c r="E593" t="s">
        <v>95</v>
      </c>
      <c r="F593" t="s">
        <v>137</v>
      </c>
      <c r="G593">
        <v>1</v>
      </c>
      <c r="H593" s="11">
        <v>1</v>
      </c>
      <c r="I59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3">
        <v>2</v>
      </c>
      <c r="K59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3">
        <v>1</v>
      </c>
      <c r="M593" t="s">
        <v>166</v>
      </c>
    </row>
    <row r="594" spans="1:13" hidden="1" x14ac:dyDescent="0.3">
      <c r="A594" s="9">
        <v>46082</v>
      </c>
      <c r="B594" s="3" t="s">
        <v>173</v>
      </c>
      <c r="C594" s="10">
        <v>74193</v>
      </c>
      <c r="D594" t="s">
        <v>118</v>
      </c>
      <c r="E594" t="s">
        <v>95</v>
      </c>
      <c r="F594" t="s">
        <v>137</v>
      </c>
      <c r="G594">
        <v>1</v>
      </c>
      <c r="H594" s="11">
        <v>1</v>
      </c>
      <c r="I59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4">
        <v>2</v>
      </c>
      <c r="K59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4">
        <v>1</v>
      </c>
      <c r="M594" t="s">
        <v>166</v>
      </c>
    </row>
    <row r="595" spans="1:13" hidden="1" x14ac:dyDescent="0.3">
      <c r="A595" s="9">
        <v>46082</v>
      </c>
      <c r="B595" s="3" t="s">
        <v>174</v>
      </c>
      <c r="C595" s="10">
        <v>18579</v>
      </c>
      <c r="D595" t="s">
        <v>118</v>
      </c>
      <c r="E595" t="s">
        <v>95</v>
      </c>
      <c r="F595" t="s">
        <v>137</v>
      </c>
      <c r="G595">
        <v>1</v>
      </c>
      <c r="H595" s="11">
        <v>3</v>
      </c>
      <c r="I59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5">
        <v>2</v>
      </c>
      <c r="K59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5">
        <v>1</v>
      </c>
      <c r="M595" t="s">
        <v>166</v>
      </c>
    </row>
    <row r="596" spans="1:13" hidden="1" x14ac:dyDescent="0.3">
      <c r="A596" s="9">
        <v>46082</v>
      </c>
      <c r="B596" s="3" t="s">
        <v>172</v>
      </c>
      <c r="C596" s="10">
        <v>10370</v>
      </c>
      <c r="D596" t="s">
        <v>118</v>
      </c>
      <c r="E596" t="s">
        <v>95</v>
      </c>
      <c r="F596" t="s">
        <v>137</v>
      </c>
      <c r="G596">
        <v>1</v>
      </c>
      <c r="H596" s="11">
        <v>1</v>
      </c>
      <c r="I59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6">
        <v>2</v>
      </c>
      <c r="K59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6">
        <v>1</v>
      </c>
      <c r="M596" t="s">
        <v>166</v>
      </c>
    </row>
    <row r="597" spans="1:13" hidden="1" x14ac:dyDescent="0.3">
      <c r="A597" s="9">
        <v>46082</v>
      </c>
      <c r="B597" s="3" t="s">
        <v>175</v>
      </c>
      <c r="C597" s="10">
        <v>18814</v>
      </c>
      <c r="D597" t="s">
        <v>118</v>
      </c>
      <c r="E597" t="s">
        <v>95</v>
      </c>
      <c r="F597" t="s">
        <v>137</v>
      </c>
      <c r="G597">
        <v>1</v>
      </c>
      <c r="H597" s="11">
        <v>3</v>
      </c>
      <c r="I59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7">
        <v>2</v>
      </c>
      <c r="K59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7">
        <v>1</v>
      </c>
      <c r="M597" t="s">
        <v>166</v>
      </c>
    </row>
    <row r="598" spans="1:13" hidden="1" x14ac:dyDescent="0.3">
      <c r="A598" s="9">
        <v>46082</v>
      </c>
      <c r="B598" s="3" t="s">
        <v>167</v>
      </c>
      <c r="C598" s="10">
        <v>18200</v>
      </c>
      <c r="D598" t="s">
        <v>118</v>
      </c>
      <c r="E598" t="s">
        <v>95</v>
      </c>
      <c r="F598" t="s">
        <v>132</v>
      </c>
      <c r="G598"/>
      <c r="H598" s="11"/>
      <c r="I59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598">
        <v>2</v>
      </c>
      <c r="K59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8">
        <v>1</v>
      </c>
      <c r="M598" t="s">
        <v>170</v>
      </c>
    </row>
    <row r="599" spans="1:13" hidden="1" x14ac:dyDescent="0.3">
      <c r="A599" s="9">
        <v>46082</v>
      </c>
      <c r="B599" s="45" t="s">
        <v>176</v>
      </c>
      <c r="C599" s="10">
        <v>53689</v>
      </c>
      <c r="D599" t="s">
        <v>118</v>
      </c>
      <c r="E599" t="s">
        <v>95</v>
      </c>
      <c r="F599" t="s">
        <v>132</v>
      </c>
      <c r="G599"/>
      <c r="H599" s="11"/>
      <c r="I599" t="str">
        <f>IF(Cuentas_personales[[#This Row],[Fijo]]=$M$2,N$2,IF(Cuentas_personales[[#This Row],[Fijo]]=$M$3,$N$3,IF(Cuentas_personales[[#This Row],[Fijo]]=$M$4,$N$4,IF(Cuentas_personales[[#This Row],[Fijo]]=$M$5,$N$5,"Nii"))))</f>
        <v>Gastos variables del mes a pagar</v>
      </c>
      <c r="J599">
        <v>3</v>
      </c>
      <c r="K59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599">
        <v>1</v>
      </c>
    </row>
    <row r="600" spans="1:13" hidden="1" x14ac:dyDescent="0.3">
      <c r="A600" s="9">
        <v>46082</v>
      </c>
      <c r="B600" s="45" t="s">
        <v>147</v>
      </c>
      <c r="C600" s="10">
        <v>92575</v>
      </c>
      <c r="D600" t="s">
        <v>146</v>
      </c>
      <c r="E600" t="s">
        <v>95</v>
      </c>
      <c r="F600" t="s">
        <v>132</v>
      </c>
      <c r="G600"/>
      <c r="H600" s="11"/>
      <c r="I60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0">
        <v>2</v>
      </c>
      <c r="K60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0">
        <v>1</v>
      </c>
    </row>
    <row r="601" spans="1:13" hidden="1" x14ac:dyDescent="0.3">
      <c r="A601" s="9">
        <v>46113</v>
      </c>
      <c r="B601" s="45" t="s">
        <v>34</v>
      </c>
      <c r="C601" s="46">
        <v>2482167</v>
      </c>
      <c r="D601" t="s">
        <v>35</v>
      </c>
      <c r="E601" t="s">
        <v>35</v>
      </c>
      <c r="F601" t="s">
        <v>135</v>
      </c>
      <c r="G601"/>
      <c r="H601" s="11"/>
      <c r="I601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601">
        <v>4</v>
      </c>
      <c r="K601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601">
        <v>4</v>
      </c>
    </row>
    <row r="602" spans="1:13" hidden="1" x14ac:dyDescent="0.3">
      <c r="A602" s="9">
        <v>46113</v>
      </c>
      <c r="B602" s="45" t="s">
        <v>36</v>
      </c>
      <c r="C602" s="10">
        <v>81645</v>
      </c>
      <c r="D602" t="s">
        <v>35</v>
      </c>
      <c r="E602" t="s">
        <v>35</v>
      </c>
      <c r="F602" t="s">
        <v>135</v>
      </c>
      <c r="G602"/>
      <c r="H602" s="11"/>
      <c r="I602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602">
        <v>4</v>
      </c>
      <c r="K602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602">
        <v>4</v>
      </c>
    </row>
    <row r="603" spans="1:13" hidden="1" x14ac:dyDescent="0.3">
      <c r="A603" s="9">
        <v>46113</v>
      </c>
      <c r="B603" s="45" t="s">
        <v>146</v>
      </c>
      <c r="C603" s="10">
        <v>370386</v>
      </c>
      <c r="D603" t="s">
        <v>146</v>
      </c>
      <c r="E603" t="s">
        <v>95</v>
      </c>
      <c r="F603" t="s">
        <v>137</v>
      </c>
      <c r="G603">
        <v>48</v>
      </c>
      <c r="H603" s="11">
        <v>4</v>
      </c>
      <c r="I60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3">
        <v>2</v>
      </c>
      <c r="K60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3">
        <v>1</v>
      </c>
      <c r="M603" t="s">
        <v>177</v>
      </c>
    </row>
    <row r="604" spans="1:13" hidden="1" x14ac:dyDescent="0.3">
      <c r="A604" s="9">
        <v>46113</v>
      </c>
      <c r="B604" s="45" t="s">
        <v>154</v>
      </c>
      <c r="C604" s="10">
        <v>15088</v>
      </c>
      <c r="D604" t="s">
        <v>118</v>
      </c>
      <c r="E604" t="s">
        <v>95</v>
      </c>
      <c r="F604" t="s">
        <v>137</v>
      </c>
      <c r="G604">
        <v>6</v>
      </c>
      <c r="H604" s="11">
        <v>5</v>
      </c>
      <c r="I60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4">
        <v>2</v>
      </c>
      <c r="K60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4">
        <v>1</v>
      </c>
      <c r="M604" t="s">
        <v>160</v>
      </c>
    </row>
    <row r="605" spans="1:13" hidden="1" x14ac:dyDescent="0.3">
      <c r="A605" s="9">
        <v>46113</v>
      </c>
      <c r="B605" s="45" t="s">
        <v>153</v>
      </c>
      <c r="C605" s="10">
        <v>32000</v>
      </c>
      <c r="D605" t="s">
        <v>118</v>
      </c>
      <c r="E605" t="s">
        <v>95</v>
      </c>
      <c r="F605" t="s">
        <v>137</v>
      </c>
      <c r="G605">
        <v>12</v>
      </c>
      <c r="H605" s="11">
        <v>6</v>
      </c>
      <c r="I6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5">
        <v>2</v>
      </c>
      <c r="K6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5">
        <v>1</v>
      </c>
      <c r="M605" t="s">
        <v>171</v>
      </c>
    </row>
    <row r="606" spans="1:13" hidden="1" x14ac:dyDescent="0.3">
      <c r="A606" s="9">
        <v>46113</v>
      </c>
      <c r="B606" s="45" t="s">
        <v>131</v>
      </c>
      <c r="C606" s="10">
        <v>70000</v>
      </c>
      <c r="D606" t="s">
        <v>16</v>
      </c>
      <c r="E606" t="s">
        <v>95</v>
      </c>
      <c r="F606" t="s">
        <v>137</v>
      </c>
      <c r="G606">
        <v>12</v>
      </c>
      <c r="H606" s="11">
        <v>12</v>
      </c>
      <c r="I60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6">
        <v>2</v>
      </c>
      <c r="K60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6">
        <v>1</v>
      </c>
    </row>
    <row r="607" spans="1:13" hidden="1" x14ac:dyDescent="0.3">
      <c r="A607" s="9">
        <v>46113</v>
      </c>
      <c r="B607" s="45" t="s">
        <v>168</v>
      </c>
      <c r="C607" s="10">
        <v>18000</v>
      </c>
      <c r="D607" t="s">
        <v>118</v>
      </c>
      <c r="E607" t="s">
        <v>95</v>
      </c>
      <c r="F607" t="s">
        <v>137</v>
      </c>
      <c r="G607">
        <v>3</v>
      </c>
      <c r="H607" s="11">
        <v>3</v>
      </c>
      <c r="I60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7">
        <v>2</v>
      </c>
      <c r="K60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7">
        <v>1</v>
      </c>
      <c r="M607" t="s">
        <v>166</v>
      </c>
    </row>
    <row r="608" spans="1:13" hidden="1" x14ac:dyDescent="0.3">
      <c r="A608" s="9">
        <v>46113</v>
      </c>
      <c r="B608" s="3" t="s">
        <v>174</v>
      </c>
      <c r="C608" s="10">
        <v>18600</v>
      </c>
      <c r="D608" t="s">
        <v>118</v>
      </c>
      <c r="E608" t="s">
        <v>95</v>
      </c>
      <c r="F608" t="s">
        <v>137</v>
      </c>
      <c r="G608">
        <v>2</v>
      </c>
      <c r="H608" s="11">
        <v>3</v>
      </c>
      <c r="I60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8">
        <v>2</v>
      </c>
      <c r="K60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8">
        <v>1</v>
      </c>
      <c r="M608" t="s">
        <v>166</v>
      </c>
    </row>
    <row r="609" spans="1:13" hidden="1" x14ac:dyDescent="0.3">
      <c r="A609" s="9">
        <v>46113</v>
      </c>
      <c r="B609" s="3" t="s">
        <v>175</v>
      </c>
      <c r="C609" s="10">
        <v>18900</v>
      </c>
      <c r="D609" t="s">
        <v>118</v>
      </c>
      <c r="E609" t="s">
        <v>95</v>
      </c>
      <c r="F609" t="s">
        <v>137</v>
      </c>
      <c r="G609">
        <v>2</v>
      </c>
      <c r="H609" s="11">
        <v>3</v>
      </c>
      <c r="I60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09">
        <v>2</v>
      </c>
      <c r="K60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09">
        <v>1</v>
      </c>
      <c r="M609" t="s">
        <v>166</v>
      </c>
    </row>
    <row r="610" spans="1:13" hidden="1" x14ac:dyDescent="0.3">
      <c r="A610" s="9">
        <v>46113</v>
      </c>
      <c r="B610" s="3" t="s">
        <v>172</v>
      </c>
      <c r="C610" s="10">
        <v>5400</v>
      </c>
      <c r="D610" t="s">
        <v>118</v>
      </c>
      <c r="E610" t="s">
        <v>95</v>
      </c>
      <c r="F610" t="s">
        <v>137</v>
      </c>
      <c r="G610">
        <v>1</v>
      </c>
      <c r="H610" s="11">
        <v>1</v>
      </c>
      <c r="I61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0">
        <v>2</v>
      </c>
      <c r="K61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0">
        <v>1</v>
      </c>
      <c r="M610" t="s">
        <v>166</v>
      </c>
    </row>
    <row r="611" spans="1:13" hidden="1" x14ac:dyDescent="0.3">
      <c r="A611" s="9">
        <v>46113</v>
      </c>
      <c r="B611" s="3" t="s">
        <v>178</v>
      </c>
      <c r="C611" s="10">
        <v>55000</v>
      </c>
      <c r="D611" t="s">
        <v>118</v>
      </c>
      <c r="E611" t="s">
        <v>95</v>
      </c>
      <c r="F611" t="s">
        <v>137</v>
      </c>
      <c r="G611">
        <v>1</v>
      </c>
      <c r="H611" s="11">
        <v>1</v>
      </c>
      <c r="I6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1">
        <v>2</v>
      </c>
      <c r="K6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1">
        <v>1</v>
      </c>
      <c r="M611" t="s">
        <v>166</v>
      </c>
    </row>
    <row r="612" spans="1:13" hidden="1" x14ac:dyDescent="0.3">
      <c r="A612" s="9">
        <v>46113</v>
      </c>
      <c r="B612" s="3" t="s">
        <v>179</v>
      </c>
      <c r="C612" s="10">
        <v>32000</v>
      </c>
      <c r="D612" t="s">
        <v>118</v>
      </c>
      <c r="E612" t="s">
        <v>95</v>
      </c>
      <c r="F612" t="s">
        <v>137</v>
      </c>
      <c r="G612">
        <v>1</v>
      </c>
      <c r="H612" s="11">
        <v>1</v>
      </c>
      <c r="I61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2">
        <v>2</v>
      </c>
      <c r="K6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2">
        <v>1</v>
      </c>
      <c r="M612" t="s">
        <v>166</v>
      </c>
    </row>
    <row r="613" spans="1:13" hidden="1" x14ac:dyDescent="0.3">
      <c r="A613" s="9">
        <v>46113</v>
      </c>
      <c r="B613" s="3" t="s">
        <v>147</v>
      </c>
      <c r="C613" s="10">
        <v>92000</v>
      </c>
      <c r="D613" t="s">
        <v>146</v>
      </c>
      <c r="E613" t="s">
        <v>95</v>
      </c>
      <c r="F613" t="s">
        <v>132</v>
      </c>
      <c r="G613"/>
      <c r="H613" s="11"/>
      <c r="I61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3">
        <v>2</v>
      </c>
      <c r="K61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613">
        <v>2</v>
      </c>
    </row>
    <row r="614" spans="1:13" hidden="1" x14ac:dyDescent="0.3">
      <c r="A614" s="9">
        <v>46113</v>
      </c>
      <c r="B614" s="45" t="s">
        <v>148</v>
      </c>
      <c r="C614" s="10">
        <v>54838</v>
      </c>
      <c r="D614" t="s">
        <v>146</v>
      </c>
      <c r="E614" t="s">
        <v>95</v>
      </c>
      <c r="F614" t="s">
        <v>132</v>
      </c>
      <c r="G614"/>
      <c r="H614" s="11"/>
      <c r="I61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4">
        <v>2</v>
      </c>
      <c r="K61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4">
        <v>1</v>
      </c>
    </row>
    <row r="615" spans="1:13" hidden="1" x14ac:dyDescent="0.3">
      <c r="A615" s="9">
        <v>46113</v>
      </c>
      <c r="B615" s="45" t="s">
        <v>134</v>
      </c>
      <c r="C615" s="10">
        <v>240000</v>
      </c>
      <c r="D615" t="s">
        <v>52</v>
      </c>
      <c r="E615" t="s">
        <v>95</v>
      </c>
      <c r="F615" t="s">
        <v>132</v>
      </c>
      <c r="G615"/>
      <c r="H615" s="11"/>
      <c r="I61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5">
        <v>2</v>
      </c>
      <c r="K61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5">
        <v>1</v>
      </c>
    </row>
    <row r="616" spans="1:13" hidden="1" x14ac:dyDescent="0.3">
      <c r="A616" s="9">
        <v>46113</v>
      </c>
      <c r="B616" s="45" t="s">
        <v>129</v>
      </c>
      <c r="C616" s="10">
        <v>145000</v>
      </c>
      <c r="D616" t="s">
        <v>52</v>
      </c>
      <c r="E616" t="s">
        <v>95</v>
      </c>
      <c r="F616" t="s">
        <v>132</v>
      </c>
      <c r="G616"/>
      <c r="H616" s="11"/>
      <c r="I61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6">
        <v>2</v>
      </c>
      <c r="K61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6">
        <v>1</v>
      </c>
    </row>
    <row r="617" spans="1:13" hidden="1" x14ac:dyDescent="0.3">
      <c r="A617" s="9">
        <v>46113</v>
      </c>
      <c r="B617" s="45" t="s">
        <v>97</v>
      </c>
      <c r="C617" s="10">
        <v>132000</v>
      </c>
      <c r="D617" t="s">
        <v>97</v>
      </c>
      <c r="E617" t="s">
        <v>95</v>
      </c>
      <c r="F617" t="s">
        <v>132</v>
      </c>
      <c r="G617"/>
      <c r="H617" s="11"/>
      <c r="I61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7">
        <v>2</v>
      </c>
      <c r="K61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17">
        <v>3</v>
      </c>
    </row>
    <row r="618" spans="1:13" hidden="1" x14ac:dyDescent="0.3">
      <c r="A618" s="9">
        <v>46113</v>
      </c>
      <c r="B618" s="3" t="s">
        <v>180</v>
      </c>
      <c r="C618" s="10">
        <v>34000</v>
      </c>
      <c r="D618" t="s">
        <v>38</v>
      </c>
      <c r="E618" t="s">
        <v>95</v>
      </c>
      <c r="F618" t="s">
        <v>132</v>
      </c>
      <c r="G618"/>
      <c r="H618" s="11"/>
      <c r="I61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8">
        <v>2</v>
      </c>
      <c r="K61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18">
        <v>3</v>
      </c>
    </row>
    <row r="619" spans="1:13" hidden="1" x14ac:dyDescent="0.3">
      <c r="A619" s="9">
        <v>46113</v>
      </c>
      <c r="B619" s="45" t="s">
        <v>141</v>
      </c>
      <c r="C619" s="10">
        <v>216000</v>
      </c>
      <c r="D619" t="s">
        <v>38</v>
      </c>
      <c r="E619" t="s">
        <v>95</v>
      </c>
      <c r="F619" t="s">
        <v>132</v>
      </c>
      <c r="G619"/>
      <c r="H619" s="11"/>
      <c r="I61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19">
        <v>2</v>
      </c>
      <c r="K61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19">
        <v>1</v>
      </c>
    </row>
    <row r="620" spans="1:13" hidden="1" x14ac:dyDescent="0.3">
      <c r="A620" s="9">
        <v>46113</v>
      </c>
      <c r="B620" s="45" t="s">
        <v>102</v>
      </c>
      <c r="C620" s="10">
        <v>19122</v>
      </c>
      <c r="D620" t="s">
        <v>27</v>
      </c>
      <c r="E620" t="s">
        <v>95</v>
      </c>
      <c r="F620" t="s">
        <v>132</v>
      </c>
      <c r="G620"/>
      <c r="H620" s="11"/>
      <c r="I62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0">
        <v>2</v>
      </c>
      <c r="K62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0">
        <v>3</v>
      </c>
    </row>
    <row r="621" spans="1:13" hidden="1" x14ac:dyDescent="0.3">
      <c r="A621" s="9">
        <v>46113</v>
      </c>
      <c r="B621" s="45" t="s">
        <v>103</v>
      </c>
      <c r="C621" s="10">
        <v>2000</v>
      </c>
      <c r="D621" t="s">
        <v>27</v>
      </c>
      <c r="E621" t="s">
        <v>95</v>
      </c>
      <c r="F621" t="s">
        <v>132</v>
      </c>
      <c r="G621"/>
      <c r="H621" s="11"/>
      <c r="I62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1">
        <v>2</v>
      </c>
      <c r="K62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1">
        <v>3</v>
      </c>
    </row>
    <row r="622" spans="1:13" hidden="1" x14ac:dyDescent="0.3">
      <c r="A622" s="9">
        <v>46113</v>
      </c>
      <c r="B622" s="45" t="s">
        <v>104</v>
      </c>
      <c r="C622" s="10">
        <v>3391</v>
      </c>
      <c r="D622" t="s">
        <v>27</v>
      </c>
      <c r="E622" t="s">
        <v>95</v>
      </c>
      <c r="F622" t="s">
        <v>132</v>
      </c>
      <c r="G622"/>
      <c r="H622" s="11"/>
      <c r="I6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2">
        <v>2</v>
      </c>
      <c r="K62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2">
        <v>3</v>
      </c>
    </row>
    <row r="623" spans="1:13" hidden="1" x14ac:dyDescent="0.3">
      <c r="A623" s="9">
        <v>46113</v>
      </c>
      <c r="B623" s="45" t="s">
        <v>96</v>
      </c>
      <c r="C623" s="10">
        <v>1904</v>
      </c>
      <c r="D623" t="s">
        <v>27</v>
      </c>
      <c r="E623" t="s">
        <v>95</v>
      </c>
      <c r="F623" t="s">
        <v>132</v>
      </c>
      <c r="G623"/>
      <c r="H623" s="11"/>
      <c r="I62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3">
        <v>2</v>
      </c>
      <c r="K62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3">
        <v>3</v>
      </c>
    </row>
    <row r="624" spans="1:13" hidden="1" x14ac:dyDescent="0.3">
      <c r="A624" s="9">
        <v>46113</v>
      </c>
      <c r="B624" s="45" t="s">
        <v>151</v>
      </c>
      <c r="C624" s="10">
        <v>0</v>
      </c>
      <c r="D624" t="s">
        <v>27</v>
      </c>
      <c r="E624" t="s">
        <v>95</v>
      </c>
      <c r="F624" t="s">
        <v>132</v>
      </c>
      <c r="G624"/>
      <c r="H624" s="11"/>
      <c r="I62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4">
        <v>2</v>
      </c>
      <c r="K62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4">
        <v>3</v>
      </c>
    </row>
    <row r="625" spans="1:13" hidden="1" x14ac:dyDescent="0.3">
      <c r="A625" s="9">
        <v>46113</v>
      </c>
      <c r="B625" s="45" t="s">
        <v>143</v>
      </c>
      <c r="C625" s="10">
        <v>8900</v>
      </c>
      <c r="D625" t="s">
        <v>27</v>
      </c>
      <c r="E625" t="s">
        <v>95</v>
      </c>
      <c r="F625" t="s">
        <v>132</v>
      </c>
      <c r="G625"/>
      <c r="H625" s="11"/>
      <c r="I62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5">
        <v>2</v>
      </c>
      <c r="K62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5">
        <v>3</v>
      </c>
    </row>
    <row r="626" spans="1:13" hidden="1" x14ac:dyDescent="0.3">
      <c r="A626" s="9">
        <v>46113</v>
      </c>
      <c r="B626" s="45" t="s">
        <v>158</v>
      </c>
      <c r="C626" s="10">
        <v>40000</v>
      </c>
      <c r="D626" t="s">
        <v>16</v>
      </c>
      <c r="E626" t="s">
        <v>95</v>
      </c>
      <c r="F626" t="s">
        <v>132</v>
      </c>
      <c r="G626"/>
      <c r="H626" s="11"/>
      <c r="I62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26">
        <v>2</v>
      </c>
      <c r="K62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26">
        <v>1</v>
      </c>
    </row>
    <row r="627" spans="1:13" hidden="1" x14ac:dyDescent="0.3">
      <c r="A627" s="9">
        <v>46113</v>
      </c>
      <c r="B627" s="45" t="s">
        <v>164</v>
      </c>
      <c r="C627" s="10">
        <v>23666</v>
      </c>
      <c r="D627" t="s">
        <v>118</v>
      </c>
      <c r="E627" t="s">
        <v>95</v>
      </c>
      <c r="F627" t="s">
        <v>137</v>
      </c>
      <c r="G627">
        <v>6</v>
      </c>
      <c r="H627" s="11">
        <v>3</v>
      </c>
      <c r="I62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27">
        <v>1</v>
      </c>
      <c r="K62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7">
        <v>3</v>
      </c>
      <c r="M627" t="s">
        <v>177</v>
      </c>
    </row>
    <row r="628" spans="1:13" hidden="1" x14ac:dyDescent="0.3">
      <c r="A628" s="9">
        <v>46113</v>
      </c>
      <c r="B628" s="45" t="s">
        <v>18</v>
      </c>
      <c r="C628" s="10">
        <v>114250</v>
      </c>
      <c r="D628" t="s">
        <v>19</v>
      </c>
      <c r="E628" t="s">
        <v>95</v>
      </c>
      <c r="F628" t="s">
        <v>132</v>
      </c>
      <c r="G628"/>
      <c r="H628" s="11"/>
      <c r="I62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28">
        <v>1</v>
      </c>
      <c r="K62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8">
        <v>3</v>
      </c>
    </row>
    <row r="629" spans="1:13" hidden="1" x14ac:dyDescent="0.3">
      <c r="A629" s="9">
        <v>46113</v>
      </c>
      <c r="B629" s="45" t="s">
        <v>133</v>
      </c>
      <c r="C629" s="10">
        <v>164667</v>
      </c>
      <c r="D629" t="s">
        <v>19</v>
      </c>
      <c r="E629" t="s">
        <v>95</v>
      </c>
      <c r="F629" t="s">
        <v>132</v>
      </c>
      <c r="G629"/>
      <c r="H629" s="11"/>
      <c r="I62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29">
        <v>1</v>
      </c>
      <c r="K62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29">
        <v>3</v>
      </c>
    </row>
    <row r="630" spans="1:13" hidden="1" x14ac:dyDescent="0.3">
      <c r="A630" s="9">
        <v>46113</v>
      </c>
      <c r="B630" s="45" t="s">
        <v>86</v>
      </c>
      <c r="C630" s="10">
        <v>175000</v>
      </c>
      <c r="D630" t="s">
        <v>16</v>
      </c>
      <c r="E630" t="s">
        <v>95</v>
      </c>
      <c r="F630" t="s">
        <v>132</v>
      </c>
      <c r="G630"/>
      <c r="H630" s="11"/>
      <c r="I63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0">
        <v>1</v>
      </c>
      <c r="K63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30">
        <v>3</v>
      </c>
    </row>
    <row r="631" spans="1:13" hidden="1" x14ac:dyDescent="0.3">
      <c r="A631" s="9">
        <v>46113</v>
      </c>
      <c r="B631" s="45" t="s">
        <v>37</v>
      </c>
      <c r="C631" s="10">
        <v>37500</v>
      </c>
      <c r="D631" t="s">
        <v>38</v>
      </c>
      <c r="E631" t="s">
        <v>95</v>
      </c>
      <c r="F631" t="s">
        <v>132</v>
      </c>
      <c r="G631"/>
      <c r="H631" s="11"/>
      <c r="I63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1">
        <v>1</v>
      </c>
      <c r="K63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31">
        <v>3</v>
      </c>
    </row>
    <row r="632" spans="1:13" hidden="1" x14ac:dyDescent="0.3">
      <c r="A632" s="9">
        <v>46113</v>
      </c>
      <c r="B632" s="45" t="s">
        <v>98</v>
      </c>
      <c r="C632" s="10">
        <v>10000</v>
      </c>
      <c r="D632" t="s">
        <v>23</v>
      </c>
      <c r="E632" t="s">
        <v>95</v>
      </c>
      <c r="F632" t="s">
        <v>132</v>
      </c>
      <c r="G632"/>
      <c r="H632" s="11"/>
      <c r="I63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2">
        <v>1</v>
      </c>
      <c r="K63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32">
        <v>3</v>
      </c>
    </row>
    <row r="633" spans="1:13" hidden="1" x14ac:dyDescent="0.3">
      <c r="A633" s="9">
        <v>46113</v>
      </c>
      <c r="B633" s="45" t="s">
        <v>100</v>
      </c>
      <c r="C633" s="10">
        <v>28313</v>
      </c>
      <c r="D633" t="s">
        <v>23</v>
      </c>
      <c r="E633" t="s">
        <v>95</v>
      </c>
      <c r="F633" t="s">
        <v>132</v>
      </c>
      <c r="G633"/>
      <c r="H633" s="11"/>
      <c r="I63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3">
        <v>1</v>
      </c>
      <c r="K63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33">
        <v>3</v>
      </c>
    </row>
    <row r="634" spans="1:13" hidden="1" x14ac:dyDescent="0.3">
      <c r="A634" s="9">
        <v>46113</v>
      </c>
      <c r="B634" s="3" t="s">
        <v>128</v>
      </c>
      <c r="C634" s="10">
        <v>122000</v>
      </c>
      <c r="D634" t="s">
        <v>16</v>
      </c>
      <c r="E634" t="s">
        <v>95</v>
      </c>
      <c r="F634" t="s">
        <v>132</v>
      </c>
      <c r="G634"/>
      <c r="H634" s="11"/>
      <c r="I63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4">
        <v>1</v>
      </c>
      <c r="K63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34">
        <v>3</v>
      </c>
    </row>
    <row r="635" spans="1:13" hidden="1" x14ac:dyDescent="0.3">
      <c r="A635" s="9">
        <v>46082</v>
      </c>
      <c r="B635" s="45" t="s">
        <v>128</v>
      </c>
      <c r="C635" s="10">
        <v>54000</v>
      </c>
      <c r="D635" t="s">
        <v>16</v>
      </c>
      <c r="E635" t="s">
        <v>95</v>
      </c>
      <c r="F635" t="s">
        <v>132</v>
      </c>
      <c r="G635"/>
      <c r="H635" s="11"/>
      <c r="I63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35">
        <v>1</v>
      </c>
      <c r="K63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635">
        <v>2</v>
      </c>
    </row>
    <row r="636" spans="1:13" hidden="1" x14ac:dyDescent="0.3">
      <c r="A636" s="9">
        <v>46143</v>
      </c>
      <c r="B636" s="3" t="s">
        <v>173</v>
      </c>
      <c r="C636" s="10">
        <v>42739</v>
      </c>
      <c r="D636" t="s">
        <v>146</v>
      </c>
      <c r="E636" t="s">
        <v>95</v>
      </c>
      <c r="F636" t="s">
        <v>132</v>
      </c>
      <c r="G636"/>
      <c r="H636" s="11"/>
      <c r="I63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36">
        <v>2</v>
      </c>
      <c r="K6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36">
        <v>1</v>
      </c>
      <c r="M636" t="s">
        <v>166</v>
      </c>
    </row>
    <row r="637" spans="1:13" hidden="1" x14ac:dyDescent="0.3">
      <c r="A637" s="9">
        <v>46143</v>
      </c>
      <c r="B637" s="45" t="s">
        <v>147</v>
      </c>
      <c r="C637" s="10">
        <v>101807</v>
      </c>
      <c r="D637" t="s">
        <v>146</v>
      </c>
      <c r="E637" t="s">
        <v>95</v>
      </c>
      <c r="F637" t="s">
        <v>132</v>
      </c>
      <c r="G637"/>
      <c r="H637" s="11"/>
      <c r="I63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37">
        <v>2</v>
      </c>
      <c r="K63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637">
        <v>2</v>
      </c>
    </row>
    <row r="638" spans="1:13" hidden="1" x14ac:dyDescent="0.3">
      <c r="A638" s="9">
        <v>46143</v>
      </c>
      <c r="B638" s="45" t="s">
        <v>148</v>
      </c>
      <c r="C638" s="10">
        <v>54838</v>
      </c>
      <c r="D638" t="s">
        <v>146</v>
      </c>
      <c r="E638" t="s">
        <v>95</v>
      </c>
      <c r="F638" t="s">
        <v>132</v>
      </c>
      <c r="G638"/>
      <c r="H638" s="11"/>
      <c r="I63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38">
        <v>2</v>
      </c>
      <c r="K63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38">
        <v>1</v>
      </c>
    </row>
    <row r="639" spans="1:13" hidden="1" x14ac:dyDescent="0.3">
      <c r="A639" s="9">
        <v>46143</v>
      </c>
      <c r="B639" s="45" t="s">
        <v>181</v>
      </c>
      <c r="C639" s="10">
        <v>10798</v>
      </c>
      <c r="D639" t="s">
        <v>146</v>
      </c>
      <c r="E639" t="s">
        <v>95</v>
      </c>
      <c r="F639" t="s">
        <v>132</v>
      </c>
      <c r="G639"/>
      <c r="H639" s="11"/>
      <c r="I63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39">
        <v>2</v>
      </c>
      <c r="K6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39">
        <v>1</v>
      </c>
      <c r="M639" t="s">
        <v>166</v>
      </c>
    </row>
    <row r="640" spans="1:13" hidden="1" x14ac:dyDescent="0.3">
      <c r="A640" s="9">
        <v>46143</v>
      </c>
      <c r="B640" s="45" t="s">
        <v>146</v>
      </c>
      <c r="C640" s="10">
        <v>366671</v>
      </c>
      <c r="D640" t="s">
        <v>146</v>
      </c>
      <c r="E640" t="s">
        <v>95</v>
      </c>
      <c r="F640" t="s">
        <v>137</v>
      </c>
      <c r="G640">
        <v>48</v>
      </c>
      <c r="H640" s="11">
        <v>5</v>
      </c>
      <c r="I64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0">
        <v>2</v>
      </c>
      <c r="K6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0">
        <v>1</v>
      </c>
      <c r="M640" t="s">
        <v>177</v>
      </c>
    </row>
    <row r="641" spans="1:13" hidden="1" x14ac:dyDescent="0.3">
      <c r="A641" s="9">
        <v>46143</v>
      </c>
      <c r="B641" s="45" t="s">
        <v>134</v>
      </c>
      <c r="C641" s="10">
        <v>240000</v>
      </c>
      <c r="D641" t="s">
        <v>52</v>
      </c>
      <c r="E641" t="s">
        <v>95</v>
      </c>
      <c r="F641" t="s">
        <v>132</v>
      </c>
      <c r="G641"/>
      <c r="H641" s="11"/>
      <c r="I64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1">
        <v>2</v>
      </c>
      <c r="K64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1">
        <v>1</v>
      </c>
    </row>
    <row r="642" spans="1:13" hidden="1" x14ac:dyDescent="0.3">
      <c r="A642" s="9">
        <v>46143</v>
      </c>
      <c r="B642" s="45" t="s">
        <v>129</v>
      </c>
      <c r="C642" s="10">
        <v>150000</v>
      </c>
      <c r="D642" t="s">
        <v>52</v>
      </c>
      <c r="E642" t="s">
        <v>95</v>
      </c>
      <c r="F642" t="s">
        <v>132</v>
      </c>
      <c r="G642"/>
      <c r="H642" s="11"/>
      <c r="I64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2">
        <v>2</v>
      </c>
      <c r="K64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2">
        <v>1</v>
      </c>
    </row>
    <row r="643" spans="1:13" hidden="1" x14ac:dyDescent="0.3">
      <c r="A643" s="9">
        <v>46143</v>
      </c>
      <c r="B643" s="45" t="s">
        <v>164</v>
      </c>
      <c r="C643" s="10">
        <v>23666</v>
      </c>
      <c r="D643" t="s">
        <v>118</v>
      </c>
      <c r="E643" t="s">
        <v>95</v>
      </c>
      <c r="F643" t="s">
        <v>137</v>
      </c>
      <c r="G643">
        <v>6</v>
      </c>
      <c r="H643" s="11">
        <v>4</v>
      </c>
      <c r="I64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43">
        <v>1</v>
      </c>
      <c r="K64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43">
        <v>3</v>
      </c>
      <c r="M643" t="s">
        <v>177</v>
      </c>
    </row>
    <row r="644" spans="1:13" hidden="1" x14ac:dyDescent="0.3">
      <c r="A644" s="9">
        <v>46143</v>
      </c>
      <c r="B644" s="45" t="s">
        <v>153</v>
      </c>
      <c r="C644" s="10">
        <v>43244</v>
      </c>
      <c r="D644" t="s">
        <v>118</v>
      </c>
      <c r="E644" t="s">
        <v>95</v>
      </c>
      <c r="F644" t="s">
        <v>137</v>
      </c>
      <c r="G644">
        <v>12</v>
      </c>
      <c r="H644" s="11">
        <v>7</v>
      </c>
      <c r="I64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4">
        <v>2</v>
      </c>
      <c r="K64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4">
        <v>1</v>
      </c>
      <c r="M644" t="s">
        <v>171</v>
      </c>
    </row>
    <row r="645" spans="1:13" hidden="1" x14ac:dyDescent="0.3">
      <c r="A645" s="9">
        <v>46143</v>
      </c>
      <c r="B645" s="45" t="s">
        <v>174</v>
      </c>
      <c r="C645" s="10">
        <v>18600</v>
      </c>
      <c r="D645" t="s">
        <v>118</v>
      </c>
      <c r="E645" t="s">
        <v>95</v>
      </c>
      <c r="F645" t="s">
        <v>137</v>
      </c>
      <c r="G645">
        <v>3</v>
      </c>
      <c r="H645" s="11">
        <v>3</v>
      </c>
      <c r="I64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5">
        <v>2</v>
      </c>
      <c r="K64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5">
        <v>1</v>
      </c>
      <c r="M645" t="s">
        <v>166</v>
      </c>
    </row>
    <row r="646" spans="1:13" hidden="1" x14ac:dyDescent="0.3">
      <c r="A646" s="9">
        <v>46143</v>
      </c>
      <c r="B646" s="45" t="s">
        <v>175</v>
      </c>
      <c r="C646" s="10">
        <v>18900</v>
      </c>
      <c r="D646" t="s">
        <v>118</v>
      </c>
      <c r="E646" t="s">
        <v>95</v>
      </c>
      <c r="F646" t="s">
        <v>137</v>
      </c>
      <c r="G646">
        <v>3</v>
      </c>
      <c r="H646" s="11">
        <v>3</v>
      </c>
      <c r="I64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6">
        <v>2</v>
      </c>
      <c r="K64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6">
        <v>1</v>
      </c>
      <c r="M646" t="s">
        <v>166</v>
      </c>
    </row>
    <row r="647" spans="1:13" hidden="1" x14ac:dyDescent="0.3">
      <c r="A647" s="9">
        <v>46143</v>
      </c>
      <c r="B647" s="45" t="s">
        <v>154</v>
      </c>
      <c r="C647" s="10">
        <v>15088</v>
      </c>
      <c r="D647" t="s">
        <v>118</v>
      </c>
      <c r="E647" t="s">
        <v>95</v>
      </c>
      <c r="F647" t="s">
        <v>137</v>
      </c>
      <c r="G647">
        <v>6</v>
      </c>
      <c r="H647" s="11">
        <v>6</v>
      </c>
      <c r="I64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47">
        <v>2</v>
      </c>
      <c r="K64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47">
        <v>1</v>
      </c>
      <c r="M647" t="s">
        <v>160</v>
      </c>
    </row>
    <row r="648" spans="1:13" hidden="1" x14ac:dyDescent="0.3">
      <c r="A648" s="9">
        <v>46143</v>
      </c>
      <c r="B648" s="45" t="s">
        <v>18</v>
      </c>
      <c r="C648" s="10">
        <v>114250</v>
      </c>
      <c r="D648" t="s">
        <v>19</v>
      </c>
      <c r="E648" t="s">
        <v>95</v>
      </c>
      <c r="F648" t="s">
        <v>132</v>
      </c>
      <c r="G648"/>
      <c r="H648" s="11"/>
      <c r="I64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48">
        <v>1</v>
      </c>
      <c r="K64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48">
        <v>3</v>
      </c>
    </row>
    <row r="649" spans="1:13" hidden="1" x14ac:dyDescent="0.3">
      <c r="A649" s="9">
        <v>46143</v>
      </c>
      <c r="B649" s="45" t="s">
        <v>133</v>
      </c>
      <c r="C649" s="10">
        <v>194350</v>
      </c>
      <c r="D649" t="s">
        <v>19</v>
      </c>
      <c r="E649" t="s">
        <v>95</v>
      </c>
      <c r="F649" t="s">
        <v>132</v>
      </c>
      <c r="G649"/>
      <c r="H649" s="11"/>
      <c r="I64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49">
        <v>1</v>
      </c>
      <c r="K64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49">
        <v>3</v>
      </c>
    </row>
    <row r="650" spans="1:13" hidden="1" x14ac:dyDescent="0.3">
      <c r="A650" s="9">
        <v>46143</v>
      </c>
      <c r="B650" s="45" t="s">
        <v>34</v>
      </c>
      <c r="C650" s="46">
        <v>2698887</v>
      </c>
      <c r="D650" t="s">
        <v>35</v>
      </c>
      <c r="E650" t="s">
        <v>35</v>
      </c>
      <c r="F650" t="s">
        <v>135</v>
      </c>
      <c r="G650"/>
      <c r="H650" s="11"/>
      <c r="I650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650">
        <v>4</v>
      </c>
      <c r="K650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650">
        <v>4</v>
      </c>
    </row>
    <row r="651" spans="1:13" hidden="1" x14ac:dyDescent="0.3">
      <c r="A651" s="9">
        <v>46143</v>
      </c>
      <c r="B651" s="45" t="s">
        <v>158</v>
      </c>
      <c r="C651" s="10">
        <v>43000</v>
      </c>
      <c r="D651" t="s">
        <v>16</v>
      </c>
      <c r="E651" t="s">
        <v>95</v>
      </c>
      <c r="F651" t="s">
        <v>132</v>
      </c>
      <c r="G651"/>
      <c r="H651" s="11"/>
      <c r="I65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1">
        <v>2</v>
      </c>
      <c r="K6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1">
        <v>1</v>
      </c>
    </row>
    <row r="652" spans="1:13" hidden="1" x14ac:dyDescent="0.3">
      <c r="A652" s="9">
        <v>46143</v>
      </c>
      <c r="B652" s="45" t="s">
        <v>128</v>
      </c>
      <c r="C652" s="10">
        <v>32000</v>
      </c>
      <c r="D652" t="s">
        <v>16</v>
      </c>
      <c r="E652" t="s">
        <v>95</v>
      </c>
      <c r="F652" t="s">
        <v>132</v>
      </c>
      <c r="G652"/>
      <c r="H652" s="11"/>
      <c r="I65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52">
        <v>1</v>
      </c>
      <c r="K65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52">
        <v>3</v>
      </c>
    </row>
    <row r="653" spans="1:13" hidden="1" x14ac:dyDescent="0.3">
      <c r="A653" s="9">
        <v>46143</v>
      </c>
      <c r="B653" s="3" t="s">
        <v>182</v>
      </c>
      <c r="C653" s="10">
        <v>73043</v>
      </c>
      <c r="D653" t="s">
        <v>16</v>
      </c>
      <c r="E653" t="s">
        <v>95</v>
      </c>
      <c r="F653" t="s">
        <v>132</v>
      </c>
      <c r="G653"/>
      <c r="H653" s="11"/>
      <c r="I65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3">
        <v>2</v>
      </c>
      <c r="K65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3">
        <v>1</v>
      </c>
    </row>
    <row r="654" spans="1:13" hidden="1" x14ac:dyDescent="0.3">
      <c r="A654" s="9">
        <v>46143</v>
      </c>
      <c r="B654" s="45" t="s">
        <v>86</v>
      </c>
      <c r="C654" s="10">
        <v>454829</v>
      </c>
      <c r="D654" t="s">
        <v>16</v>
      </c>
      <c r="E654" t="s">
        <v>95</v>
      </c>
      <c r="F654" t="s">
        <v>132</v>
      </c>
      <c r="G654"/>
      <c r="H654" s="11"/>
      <c r="I65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4">
        <v>2</v>
      </c>
      <c r="K65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4">
        <v>1</v>
      </c>
    </row>
    <row r="655" spans="1:13" hidden="1" x14ac:dyDescent="0.3">
      <c r="A655" s="9">
        <v>46143</v>
      </c>
      <c r="B655" s="45" t="s">
        <v>97</v>
      </c>
      <c r="C655" s="10">
        <v>136058</v>
      </c>
      <c r="D655" t="s">
        <v>97</v>
      </c>
      <c r="E655" t="s">
        <v>95</v>
      </c>
      <c r="F655" t="s">
        <v>132</v>
      </c>
      <c r="G655"/>
      <c r="H655" s="11"/>
      <c r="I65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5">
        <v>2</v>
      </c>
      <c r="K65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55">
        <v>3</v>
      </c>
    </row>
    <row r="656" spans="1:13" hidden="1" x14ac:dyDescent="0.3">
      <c r="A656" s="9">
        <v>46143</v>
      </c>
      <c r="B656" s="45" t="s">
        <v>141</v>
      </c>
      <c r="C656" s="10">
        <v>224163</v>
      </c>
      <c r="D656" t="s">
        <v>38</v>
      </c>
      <c r="E656" t="s">
        <v>95</v>
      </c>
      <c r="F656" t="s">
        <v>132</v>
      </c>
      <c r="G656"/>
      <c r="H656" s="11"/>
      <c r="I65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6">
        <v>2</v>
      </c>
      <c r="K65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6">
        <v>1</v>
      </c>
    </row>
    <row r="657" spans="1:13" hidden="1" x14ac:dyDescent="0.3">
      <c r="A657" s="9">
        <v>46143</v>
      </c>
      <c r="B657" s="3" t="s">
        <v>183</v>
      </c>
      <c r="C657" s="10">
        <v>31000</v>
      </c>
      <c r="D657" t="s">
        <v>23</v>
      </c>
      <c r="E657" t="s">
        <v>95</v>
      </c>
      <c r="F657" t="s">
        <v>132</v>
      </c>
      <c r="G657"/>
      <c r="H657" s="11"/>
      <c r="I65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57">
        <v>2</v>
      </c>
      <c r="K65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57">
        <v>1</v>
      </c>
    </row>
    <row r="658" spans="1:13" hidden="1" x14ac:dyDescent="0.3">
      <c r="A658" s="9">
        <v>46143</v>
      </c>
      <c r="B658" s="45" t="s">
        <v>37</v>
      </c>
      <c r="C658" s="10">
        <v>37500</v>
      </c>
      <c r="D658" t="s">
        <v>38</v>
      </c>
      <c r="E658" t="s">
        <v>95</v>
      </c>
      <c r="F658" t="s">
        <v>132</v>
      </c>
      <c r="G658"/>
      <c r="H658" s="11"/>
      <c r="I65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58">
        <v>1</v>
      </c>
      <c r="K65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58">
        <v>3</v>
      </c>
    </row>
    <row r="659" spans="1:13" hidden="1" x14ac:dyDescent="0.3">
      <c r="A659" s="9">
        <v>46143</v>
      </c>
      <c r="B659" s="45" t="s">
        <v>98</v>
      </c>
      <c r="C659" s="10">
        <v>10000</v>
      </c>
      <c r="D659" t="s">
        <v>23</v>
      </c>
      <c r="E659" t="s">
        <v>95</v>
      </c>
      <c r="F659" t="s">
        <v>132</v>
      </c>
      <c r="G659"/>
      <c r="H659" s="11"/>
      <c r="I65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59">
        <v>1</v>
      </c>
      <c r="K65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59">
        <v>3</v>
      </c>
    </row>
    <row r="660" spans="1:13" hidden="1" x14ac:dyDescent="0.3">
      <c r="A660" s="9">
        <v>46143</v>
      </c>
      <c r="B660" s="45" t="s">
        <v>100</v>
      </c>
      <c r="C660" s="10">
        <v>16810</v>
      </c>
      <c r="D660" t="s">
        <v>23</v>
      </c>
      <c r="E660" t="s">
        <v>95</v>
      </c>
      <c r="F660" t="s">
        <v>132</v>
      </c>
      <c r="G660"/>
      <c r="H660" s="11"/>
      <c r="I66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60">
        <v>1</v>
      </c>
      <c r="K66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0">
        <v>3</v>
      </c>
    </row>
    <row r="661" spans="1:13" hidden="1" x14ac:dyDescent="0.3">
      <c r="A661" s="9">
        <v>46143</v>
      </c>
      <c r="B661" s="45" t="s">
        <v>102</v>
      </c>
      <c r="C661" s="10">
        <v>19122</v>
      </c>
      <c r="D661" t="s">
        <v>27</v>
      </c>
      <c r="E661" t="s">
        <v>95</v>
      </c>
      <c r="F661" t="s">
        <v>132</v>
      </c>
      <c r="G661"/>
      <c r="H661" s="11"/>
      <c r="I66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1">
        <v>2</v>
      </c>
      <c r="K66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1">
        <v>3</v>
      </c>
    </row>
    <row r="662" spans="1:13" hidden="1" x14ac:dyDescent="0.3">
      <c r="A662" s="9">
        <v>46143</v>
      </c>
      <c r="B662" s="45" t="s">
        <v>103</v>
      </c>
      <c r="C662" s="10">
        <v>2000</v>
      </c>
      <c r="D662" t="s">
        <v>27</v>
      </c>
      <c r="E662" t="s">
        <v>95</v>
      </c>
      <c r="F662" t="s">
        <v>132</v>
      </c>
      <c r="G662"/>
      <c r="H662" s="11"/>
      <c r="I66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2">
        <v>2</v>
      </c>
      <c r="K66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2">
        <v>3</v>
      </c>
    </row>
    <row r="663" spans="1:13" hidden="1" x14ac:dyDescent="0.3">
      <c r="A663" s="9">
        <v>46143</v>
      </c>
      <c r="B663" s="45" t="s">
        <v>104</v>
      </c>
      <c r="C663" s="10">
        <v>3391</v>
      </c>
      <c r="D663" t="s">
        <v>27</v>
      </c>
      <c r="E663" t="s">
        <v>95</v>
      </c>
      <c r="F663" t="s">
        <v>132</v>
      </c>
      <c r="G663"/>
      <c r="H663" s="11"/>
      <c r="I66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3">
        <v>2</v>
      </c>
      <c r="K66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3">
        <v>3</v>
      </c>
    </row>
    <row r="664" spans="1:13" hidden="1" x14ac:dyDescent="0.3">
      <c r="A664" s="9">
        <v>46143</v>
      </c>
      <c r="B664" s="45" t="s">
        <v>96</v>
      </c>
      <c r="C664" s="10">
        <v>1904</v>
      </c>
      <c r="D664" t="s">
        <v>27</v>
      </c>
      <c r="E664" t="s">
        <v>95</v>
      </c>
      <c r="F664" t="s">
        <v>132</v>
      </c>
      <c r="G664"/>
      <c r="H664" s="11"/>
      <c r="I66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4">
        <v>2</v>
      </c>
      <c r="K66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4">
        <v>3</v>
      </c>
    </row>
    <row r="665" spans="1:13" hidden="1" x14ac:dyDescent="0.3">
      <c r="A665" s="9">
        <v>46143</v>
      </c>
      <c r="B665" s="45" t="s">
        <v>151</v>
      </c>
      <c r="C665" s="10">
        <v>0</v>
      </c>
      <c r="D665" t="s">
        <v>27</v>
      </c>
      <c r="E665" t="s">
        <v>95</v>
      </c>
      <c r="F665" t="s">
        <v>132</v>
      </c>
      <c r="G665"/>
      <c r="H665" s="11"/>
      <c r="I66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5">
        <v>2</v>
      </c>
      <c r="K66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5">
        <v>3</v>
      </c>
    </row>
    <row r="666" spans="1:13" hidden="1" x14ac:dyDescent="0.3">
      <c r="A666" s="9">
        <v>46143</v>
      </c>
      <c r="B666" s="45" t="s">
        <v>143</v>
      </c>
      <c r="C666" s="10">
        <v>8900</v>
      </c>
      <c r="D666" t="s">
        <v>27</v>
      </c>
      <c r="E666" t="s">
        <v>95</v>
      </c>
      <c r="F666" t="s">
        <v>132</v>
      </c>
      <c r="G666"/>
      <c r="H666" s="11"/>
      <c r="I66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6">
        <v>2</v>
      </c>
      <c r="K66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66">
        <v>3</v>
      </c>
    </row>
    <row r="667" spans="1:13" hidden="1" x14ac:dyDescent="0.3">
      <c r="A667" s="9">
        <v>46174</v>
      </c>
      <c r="B667" s="45" t="s">
        <v>34</v>
      </c>
      <c r="C667" s="46">
        <v>3038118</v>
      </c>
      <c r="D667" t="s">
        <v>35</v>
      </c>
      <c r="E667" t="s">
        <v>35</v>
      </c>
      <c r="F667" t="s">
        <v>135</v>
      </c>
      <c r="G667"/>
      <c r="H667" s="11"/>
      <c r="I667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667">
        <v>4</v>
      </c>
      <c r="K667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667">
        <v>4</v>
      </c>
    </row>
    <row r="668" spans="1:13" hidden="1" x14ac:dyDescent="0.3">
      <c r="A668" s="9">
        <v>46174</v>
      </c>
      <c r="B668" s="45" t="s">
        <v>86</v>
      </c>
      <c r="C668" s="10">
        <v>450000</v>
      </c>
      <c r="D668" t="s">
        <v>16</v>
      </c>
      <c r="E668" t="s">
        <v>95</v>
      </c>
      <c r="F668" t="s">
        <v>132</v>
      </c>
      <c r="G668"/>
      <c r="H668" s="11"/>
      <c r="I66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8">
        <v>2</v>
      </c>
      <c r="K66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68">
        <v>1</v>
      </c>
    </row>
    <row r="669" spans="1:13" hidden="1" x14ac:dyDescent="0.3">
      <c r="A669" s="9">
        <v>46174</v>
      </c>
      <c r="B669" s="45" t="s">
        <v>146</v>
      </c>
      <c r="C669" s="10">
        <v>364000</v>
      </c>
      <c r="D669" t="s">
        <v>146</v>
      </c>
      <c r="E669" t="s">
        <v>95</v>
      </c>
      <c r="F669" t="s">
        <v>137</v>
      </c>
      <c r="G669">
        <v>48</v>
      </c>
      <c r="H669" s="11">
        <v>6</v>
      </c>
      <c r="I66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69">
        <v>2</v>
      </c>
      <c r="K66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69">
        <v>1</v>
      </c>
      <c r="M669" t="s">
        <v>177</v>
      </c>
    </row>
    <row r="670" spans="1:13" hidden="1" x14ac:dyDescent="0.3">
      <c r="A670" s="9">
        <v>46174</v>
      </c>
      <c r="B670" s="45" t="s">
        <v>134</v>
      </c>
      <c r="C670" s="10">
        <v>320000</v>
      </c>
      <c r="D670" t="s">
        <v>52</v>
      </c>
      <c r="E670" t="s">
        <v>95</v>
      </c>
      <c r="F670" t="s">
        <v>132</v>
      </c>
      <c r="G670"/>
      <c r="H670" s="11"/>
      <c r="I67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0">
        <v>2</v>
      </c>
      <c r="K67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0">
        <v>1</v>
      </c>
    </row>
    <row r="671" spans="1:13" hidden="1" x14ac:dyDescent="0.3">
      <c r="A671" s="9">
        <v>46174</v>
      </c>
      <c r="B671" s="45" t="s">
        <v>141</v>
      </c>
      <c r="C671" s="10">
        <v>223734</v>
      </c>
      <c r="D671" t="s">
        <v>38</v>
      </c>
      <c r="E671" t="s">
        <v>95</v>
      </c>
      <c r="F671" t="s">
        <v>132</v>
      </c>
      <c r="G671"/>
      <c r="H671" s="11"/>
      <c r="I67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1">
        <v>2</v>
      </c>
      <c r="K67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1">
        <v>1</v>
      </c>
    </row>
    <row r="672" spans="1:13" hidden="1" x14ac:dyDescent="0.3">
      <c r="A672" s="9">
        <v>46174</v>
      </c>
      <c r="B672" s="45" t="s">
        <v>133</v>
      </c>
      <c r="C672" s="10">
        <v>194350</v>
      </c>
      <c r="D672" t="s">
        <v>19</v>
      </c>
      <c r="E672" t="s">
        <v>95</v>
      </c>
      <c r="F672" t="s">
        <v>132</v>
      </c>
      <c r="G672"/>
      <c r="H672" s="11"/>
      <c r="I67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72">
        <v>1</v>
      </c>
      <c r="K67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72">
        <v>3</v>
      </c>
    </row>
    <row r="673" spans="1:13" hidden="1" x14ac:dyDescent="0.3">
      <c r="A673" s="9">
        <v>46174</v>
      </c>
      <c r="B673" s="45" t="s">
        <v>184</v>
      </c>
      <c r="C673" s="10">
        <v>171000</v>
      </c>
      <c r="D673" t="s">
        <v>146</v>
      </c>
      <c r="E673" t="s">
        <v>95</v>
      </c>
      <c r="F673" t="s">
        <v>132</v>
      </c>
      <c r="G673"/>
      <c r="H673" s="11"/>
      <c r="I67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73">
        <v>1</v>
      </c>
      <c r="K67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73">
        <v>3</v>
      </c>
    </row>
    <row r="674" spans="1:13" hidden="1" x14ac:dyDescent="0.3">
      <c r="A674" s="9">
        <v>46174</v>
      </c>
      <c r="B674" s="45" t="s">
        <v>129</v>
      </c>
      <c r="C674" s="10">
        <v>150000</v>
      </c>
      <c r="D674" t="s">
        <v>52</v>
      </c>
      <c r="E674" t="s">
        <v>95</v>
      </c>
      <c r="F674" t="s">
        <v>132</v>
      </c>
      <c r="G674"/>
      <c r="H674" s="11"/>
      <c r="I67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4">
        <v>2</v>
      </c>
      <c r="K67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4">
        <v>1</v>
      </c>
    </row>
    <row r="675" spans="1:13" hidden="1" x14ac:dyDescent="0.3">
      <c r="A675" s="9">
        <v>46174</v>
      </c>
      <c r="B675" s="45" t="s">
        <v>97</v>
      </c>
      <c r="C675" s="10">
        <v>132000</v>
      </c>
      <c r="D675" t="s">
        <v>97</v>
      </c>
      <c r="E675" t="s">
        <v>95</v>
      </c>
      <c r="F675" t="s">
        <v>132</v>
      </c>
      <c r="G675"/>
      <c r="H675" s="11"/>
      <c r="I67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5">
        <v>2</v>
      </c>
      <c r="K67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75">
        <v>3</v>
      </c>
    </row>
    <row r="676" spans="1:13" hidden="1" x14ac:dyDescent="0.3">
      <c r="A676" s="9">
        <v>46174</v>
      </c>
      <c r="B676" s="45" t="s">
        <v>18</v>
      </c>
      <c r="C676" s="10">
        <v>121000</v>
      </c>
      <c r="D676" t="s">
        <v>19</v>
      </c>
      <c r="E676" t="s">
        <v>95</v>
      </c>
      <c r="F676" t="s">
        <v>132</v>
      </c>
      <c r="G676"/>
      <c r="H676" s="11"/>
      <c r="I67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76">
        <v>1</v>
      </c>
      <c r="K67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76">
        <v>3</v>
      </c>
    </row>
    <row r="677" spans="1:13" hidden="1" x14ac:dyDescent="0.3">
      <c r="A677" s="9">
        <v>46174</v>
      </c>
      <c r="B677" s="45" t="s">
        <v>147</v>
      </c>
      <c r="C677" s="10">
        <v>101000</v>
      </c>
      <c r="D677" t="s">
        <v>146</v>
      </c>
      <c r="E677" t="s">
        <v>95</v>
      </c>
      <c r="F677" t="s">
        <v>132</v>
      </c>
      <c r="G677"/>
      <c r="H677" s="11"/>
      <c r="I67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7">
        <v>2</v>
      </c>
      <c r="K67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7">
        <v>1</v>
      </c>
    </row>
    <row r="678" spans="1:13" hidden="1" x14ac:dyDescent="0.3">
      <c r="A678" s="9">
        <v>46174</v>
      </c>
      <c r="B678" s="45" t="s">
        <v>185</v>
      </c>
      <c r="C678" s="10">
        <v>80000</v>
      </c>
      <c r="D678" t="s">
        <v>52</v>
      </c>
      <c r="E678" t="s">
        <v>95</v>
      </c>
      <c r="F678" t="s">
        <v>132</v>
      </c>
      <c r="G678"/>
      <c r="H678" s="11"/>
      <c r="I67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8">
        <v>2</v>
      </c>
      <c r="K67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78">
        <v>3</v>
      </c>
    </row>
    <row r="679" spans="1:13" hidden="1" x14ac:dyDescent="0.3">
      <c r="A679" s="9">
        <v>46174</v>
      </c>
      <c r="B679" s="45" t="s">
        <v>148</v>
      </c>
      <c r="C679" s="10">
        <v>54838</v>
      </c>
      <c r="D679" t="s">
        <v>146</v>
      </c>
      <c r="E679" t="s">
        <v>95</v>
      </c>
      <c r="F679" t="s">
        <v>132</v>
      </c>
      <c r="G679"/>
      <c r="H679" s="11"/>
      <c r="I67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79">
        <v>2</v>
      </c>
      <c r="K67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79">
        <v>1</v>
      </c>
    </row>
    <row r="680" spans="1:13" hidden="1" x14ac:dyDescent="0.3">
      <c r="A680" s="9">
        <v>46174</v>
      </c>
      <c r="B680" s="45" t="s">
        <v>158</v>
      </c>
      <c r="C680" s="10">
        <v>40000</v>
      </c>
      <c r="D680" t="s">
        <v>16</v>
      </c>
      <c r="E680" t="s">
        <v>95</v>
      </c>
      <c r="F680" t="s">
        <v>132</v>
      </c>
      <c r="G680"/>
      <c r="H680" s="11"/>
      <c r="I68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80">
        <v>2</v>
      </c>
      <c r="K68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80">
        <v>1</v>
      </c>
    </row>
    <row r="681" spans="1:13" hidden="1" x14ac:dyDescent="0.3">
      <c r="A681" s="9">
        <v>46174</v>
      </c>
      <c r="B681" s="45" t="s">
        <v>37</v>
      </c>
      <c r="C681" s="10">
        <v>37500</v>
      </c>
      <c r="D681" t="s">
        <v>38</v>
      </c>
      <c r="E681" t="s">
        <v>95</v>
      </c>
      <c r="F681" t="s">
        <v>132</v>
      </c>
      <c r="G681"/>
      <c r="H681" s="11"/>
      <c r="I68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1">
        <v>1</v>
      </c>
      <c r="K68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1">
        <v>3</v>
      </c>
    </row>
    <row r="682" spans="1:13" hidden="1" x14ac:dyDescent="0.3">
      <c r="A682" s="9">
        <v>46174</v>
      </c>
      <c r="B682" s="45" t="s">
        <v>186</v>
      </c>
      <c r="C682" s="10">
        <v>34000</v>
      </c>
      <c r="D682" t="s">
        <v>16</v>
      </c>
      <c r="E682" t="s">
        <v>95</v>
      </c>
      <c r="F682" t="s">
        <v>132</v>
      </c>
      <c r="G682"/>
      <c r="H682" s="11"/>
      <c r="I68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2">
        <v>1</v>
      </c>
      <c r="K68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2">
        <v>3</v>
      </c>
    </row>
    <row r="683" spans="1:13" hidden="1" x14ac:dyDescent="0.3">
      <c r="A683" s="9">
        <v>46174</v>
      </c>
      <c r="B683" s="45" t="s">
        <v>181</v>
      </c>
      <c r="C683" s="10">
        <v>32850</v>
      </c>
      <c r="D683" t="s">
        <v>118</v>
      </c>
      <c r="E683" t="s">
        <v>95</v>
      </c>
      <c r="F683" t="s">
        <v>132</v>
      </c>
      <c r="I68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83">
        <v>2</v>
      </c>
      <c r="K68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83">
        <v>1</v>
      </c>
      <c r="M683" t="s">
        <v>166</v>
      </c>
    </row>
    <row r="684" spans="1:13" hidden="1" x14ac:dyDescent="0.3">
      <c r="A684" s="9">
        <v>46174</v>
      </c>
      <c r="B684" s="45" t="s">
        <v>153</v>
      </c>
      <c r="C684" s="10">
        <v>32000</v>
      </c>
      <c r="D684" t="s">
        <v>118</v>
      </c>
      <c r="E684" t="s">
        <v>95</v>
      </c>
      <c r="F684" t="s">
        <v>137</v>
      </c>
      <c r="G684">
        <v>12</v>
      </c>
      <c r="H684" s="11">
        <v>7</v>
      </c>
      <c r="I68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84">
        <v>2</v>
      </c>
      <c r="K68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84">
        <v>1</v>
      </c>
      <c r="M684" t="s">
        <v>171</v>
      </c>
    </row>
    <row r="685" spans="1:13" hidden="1" x14ac:dyDescent="0.3">
      <c r="A685" s="9">
        <v>46174</v>
      </c>
      <c r="B685" s="45" t="s">
        <v>128</v>
      </c>
      <c r="C685" s="10">
        <v>32000</v>
      </c>
      <c r="D685" t="s">
        <v>16</v>
      </c>
      <c r="E685" t="s">
        <v>95</v>
      </c>
      <c r="F685" t="s">
        <v>132</v>
      </c>
      <c r="G685"/>
      <c r="H685" s="11"/>
      <c r="I68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5">
        <v>1</v>
      </c>
      <c r="K68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5">
        <v>3</v>
      </c>
    </row>
    <row r="686" spans="1:13" hidden="1" x14ac:dyDescent="0.3">
      <c r="A686" s="9">
        <v>46174</v>
      </c>
      <c r="B686" s="45" t="s">
        <v>164</v>
      </c>
      <c r="C686" s="10">
        <v>23666</v>
      </c>
      <c r="D686" t="s">
        <v>118</v>
      </c>
      <c r="E686" t="s">
        <v>95</v>
      </c>
      <c r="F686" t="s">
        <v>137</v>
      </c>
      <c r="G686">
        <v>6</v>
      </c>
      <c r="H686" s="11">
        <v>5</v>
      </c>
      <c r="I68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6">
        <v>1</v>
      </c>
      <c r="K68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6">
        <v>3</v>
      </c>
      <c r="M686" t="s">
        <v>177</v>
      </c>
    </row>
    <row r="687" spans="1:13" hidden="1" x14ac:dyDescent="0.3">
      <c r="A687" s="9">
        <v>46174</v>
      </c>
      <c r="B687" s="45" t="s">
        <v>102</v>
      </c>
      <c r="C687" s="10">
        <v>18450</v>
      </c>
      <c r="D687" t="s">
        <v>27</v>
      </c>
      <c r="E687" t="s">
        <v>95</v>
      </c>
      <c r="F687" t="s">
        <v>132</v>
      </c>
      <c r="G687"/>
      <c r="H687" s="11"/>
      <c r="I68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87">
        <v>2</v>
      </c>
      <c r="K68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7">
        <v>3</v>
      </c>
    </row>
    <row r="688" spans="1:13" hidden="1" x14ac:dyDescent="0.3">
      <c r="A688" s="9">
        <v>46174</v>
      </c>
      <c r="B688" s="45" t="s">
        <v>100</v>
      </c>
      <c r="C688" s="10">
        <v>16809</v>
      </c>
      <c r="D688" t="s">
        <v>23</v>
      </c>
      <c r="E688" t="s">
        <v>95</v>
      </c>
      <c r="F688" t="s">
        <v>132</v>
      </c>
      <c r="G688"/>
      <c r="H688" s="11"/>
      <c r="I68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8">
        <v>1</v>
      </c>
      <c r="K68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8">
        <v>3</v>
      </c>
    </row>
    <row r="689" spans="1:13" hidden="1" x14ac:dyDescent="0.3">
      <c r="A689" s="9">
        <v>46174</v>
      </c>
      <c r="B689" s="45" t="s">
        <v>98</v>
      </c>
      <c r="C689" s="10">
        <v>10000</v>
      </c>
      <c r="D689" t="s">
        <v>23</v>
      </c>
      <c r="E689" t="s">
        <v>95</v>
      </c>
      <c r="F689" t="s">
        <v>132</v>
      </c>
      <c r="G689"/>
      <c r="H689" s="11"/>
      <c r="I68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689">
        <v>1</v>
      </c>
      <c r="K68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89">
        <v>3</v>
      </c>
    </row>
    <row r="690" spans="1:13" hidden="1" x14ac:dyDescent="0.3">
      <c r="A690" s="9">
        <v>46174</v>
      </c>
      <c r="B690" s="45" t="s">
        <v>143</v>
      </c>
      <c r="C690" s="10">
        <v>9765</v>
      </c>
      <c r="D690" t="s">
        <v>27</v>
      </c>
      <c r="E690" t="s">
        <v>95</v>
      </c>
      <c r="F690" t="s">
        <v>132</v>
      </c>
      <c r="G690"/>
      <c r="H690" s="11"/>
      <c r="I69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0">
        <v>2</v>
      </c>
      <c r="K690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90">
        <v>3</v>
      </c>
    </row>
    <row r="691" spans="1:13" hidden="1" x14ac:dyDescent="0.3">
      <c r="A691" s="9">
        <v>46174</v>
      </c>
      <c r="B691" s="45" t="s">
        <v>187</v>
      </c>
      <c r="C691" s="10">
        <v>8000</v>
      </c>
      <c r="D691" t="s">
        <v>27</v>
      </c>
      <c r="E691" t="s">
        <v>95</v>
      </c>
      <c r="F691" t="s">
        <v>132</v>
      </c>
      <c r="G691"/>
      <c r="H691" s="11"/>
      <c r="I69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1">
        <v>2</v>
      </c>
      <c r="K69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91">
        <v>3</v>
      </c>
    </row>
    <row r="692" spans="1:13" hidden="1" x14ac:dyDescent="0.3">
      <c r="A692" s="9">
        <v>46174</v>
      </c>
      <c r="B692" s="45" t="s">
        <v>103</v>
      </c>
      <c r="C692" s="10">
        <v>4350</v>
      </c>
      <c r="D692" t="s">
        <v>27</v>
      </c>
      <c r="E692" t="s">
        <v>95</v>
      </c>
      <c r="F692" t="s">
        <v>132</v>
      </c>
      <c r="G692"/>
      <c r="H692" s="11"/>
      <c r="I69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2">
        <v>2</v>
      </c>
      <c r="K69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92">
        <v>3</v>
      </c>
    </row>
    <row r="693" spans="1:13" hidden="1" x14ac:dyDescent="0.3">
      <c r="A693" s="9">
        <v>46174</v>
      </c>
      <c r="B693" s="45" t="s">
        <v>104</v>
      </c>
      <c r="C693" s="10">
        <v>3680</v>
      </c>
      <c r="D693" t="s">
        <v>27</v>
      </c>
      <c r="E693" t="s">
        <v>95</v>
      </c>
      <c r="F693" t="s">
        <v>132</v>
      </c>
      <c r="G693"/>
      <c r="H693" s="11"/>
      <c r="I69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3">
        <v>2</v>
      </c>
      <c r="K69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93">
        <v>3</v>
      </c>
    </row>
    <row r="694" spans="1:13" hidden="1" x14ac:dyDescent="0.3">
      <c r="B694" s="45"/>
      <c r="C694" s="10"/>
    </row>
    <row r="695" spans="1:13" hidden="1" x14ac:dyDescent="0.3">
      <c r="A695" s="9">
        <v>46174</v>
      </c>
      <c r="B695" s="45" t="s">
        <v>96</v>
      </c>
      <c r="C695" s="10">
        <v>2158</v>
      </c>
      <c r="D695" t="s">
        <v>27</v>
      </c>
      <c r="E695" t="s">
        <v>95</v>
      </c>
      <c r="F695" t="s">
        <v>132</v>
      </c>
      <c r="G695"/>
      <c r="H695" s="11"/>
      <c r="I69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5">
        <v>2</v>
      </c>
      <c r="K69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695">
        <v>3</v>
      </c>
    </row>
    <row r="696" spans="1:13" hidden="1" x14ac:dyDescent="0.3">
      <c r="A696" s="9">
        <v>46204</v>
      </c>
      <c r="B696" s="45" t="s">
        <v>34</v>
      </c>
      <c r="C696" s="46">
        <v>3239763</v>
      </c>
      <c r="D696" t="s">
        <v>35</v>
      </c>
      <c r="E696" t="s">
        <v>35</v>
      </c>
      <c r="F696" t="s">
        <v>135</v>
      </c>
      <c r="G696"/>
      <c r="H696" s="11"/>
      <c r="I696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696">
        <v>4</v>
      </c>
      <c r="K696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696">
        <v>4</v>
      </c>
    </row>
    <row r="697" spans="1:13" hidden="1" x14ac:dyDescent="0.3">
      <c r="A697" s="9">
        <v>46204</v>
      </c>
      <c r="B697" s="45" t="s">
        <v>86</v>
      </c>
      <c r="C697" s="10">
        <v>450000</v>
      </c>
      <c r="D697" t="s">
        <v>16</v>
      </c>
      <c r="E697" t="s">
        <v>95</v>
      </c>
      <c r="F697" t="s">
        <v>132</v>
      </c>
      <c r="G697"/>
      <c r="H697" s="11"/>
      <c r="I69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7">
        <v>2</v>
      </c>
      <c r="K69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97">
        <v>1</v>
      </c>
    </row>
    <row r="698" spans="1:13" hidden="1" x14ac:dyDescent="0.3">
      <c r="A698" s="9">
        <v>46204</v>
      </c>
      <c r="B698" s="45" t="s">
        <v>146</v>
      </c>
      <c r="C698" s="10">
        <v>361000</v>
      </c>
      <c r="D698" t="s">
        <v>146</v>
      </c>
      <c r="E698" t="s">
        <v>95</v>
      </c>
      <c r="F698" t="s">
        <v>137</v>
      </c>
      <c r="G698">
        <v>48</v>
      </c>
      <c r="H698" s="11">
        <v>7</v>
      </c>
      <c r="I69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8">
        <v>2</v>
      </c>
      <c r="K69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98">
        <v>1</v>
      </c>
      <c r="M698" t="s">
        <v>177</v>
      </c>
    </row>
    <row r="699" spans="1:13" hidden="1" x14ac:dyDescent="0.3">
      <c r="A699" s="9">
        <v>46204</v>
      </c>
      <c r="B699" s="45" t="s">
        <v>134</v>
      </c>
      <c r="C699" s="10">
        <v>320000</v>
      </c>
      <c r="D699" t="s">
        <v>52</v>
      </c>
      <c r="E699" t="s">
        <v>95</v>
      </c>
      <c r="F699" t="s">
        <v>132</v>
      </c>
      <c r="G699"/>
      <c r="H699" s="11"/>
      <c r="I69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699">
        <v>2</v>
      </c>
      <c r="K69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699">
        <v>1</v>
      </c>
    </row>
    <row r="700" spans="1:13" hidden="1" x14ac:dyDescent="0.3">
      <c r="A700" s="9">
        <v>46204</v>
      </c>
      <c r="B700" s="45" t="s">
        <v>141</v>
      </c>
      <c r="C700" s="10">
        <v>223734</v>
      </c>
      <c r="D700" t="s">
        <v>38</v>
      </c>
      <c r="E700" t="s">
        <v>95</v>
      </c>
      <c r="F700" t="s">
        <v>132</v>
      </c>
      <c r="G700"/>
      <c r="H700" s="11"/>
      <c r="I70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0">
        <v>2</v>
      </c>
      <c r="K70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0">
        <v>1</v>
      </c>
    </row>
    <row r="701" spans="1:13" hidden="1" x14ac:dyDescent="0.3">
      <c r="A701" s="9">
        <v>46204</v>
      </c>
      <c r="B701" s="45" t="s">
        <v>133</v>
      </c>
      <c r="C701" s="10">
        <v>194350</v>
      </c>
      <c r="D701" t="s">
        <v>19</v>
      </c>
      <c r="E701" t="s">
        <v>95</v>
      </c>
      <c r="F701" t="s">
        <v>132</v>
      </c>
      <c r="G701"/>
      <c r="H701" s="11"/>
      <c r="I70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01">
        <v>1</v>
      </c>
      <c r="K70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1">
        <v>1</v>
      </c>
    </row>
    <row r="702" spans="1:13" hidden="1" x14ac:dyDescent="0.3">
      <c r="A702" s="9">
        <v>46204</v>
      </c>
      <c r="B702" s="45" t="s">
        <v>129</v>
      </c>
      <c r="C702" s="10">
        <v>150000</v>
      </c>
      <c r="D702" t="s">
        <v>52</v>
      </c>
      <c r="E702" t="s">
        <v>95</v>
      </c>
      <c r="F702" t="s">
        <v>132</v>
      </c>
      <c r="G702"/>
      <c r="H702" s="11"/>
      <c r="I70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2">
        <v>2</v>
      </c>
      <c r="K70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2">
        <v>1</v>
      </c>
    </row>
    <row r="703" spans="1:13" hidden="1" x14ac:dyDescent="0.3">
      <c r="A703" s="9">
        <v>46204</v>
      </c>
      <c r="B703" s="45" t="s">
        <v>97</v>
      </c>
      <c r="C703" s="10">
        <v>136000</v>
      </c>
      <c r="D703" t="s">
        <v>97</v>
      </c>
      <c r="E703" t="s">
        <v>95</v>
      </c>
      <c r="F703" t="s">
        <v>132</v>
      </c>
      <c r="G703"/>
      <c r="H703" s="11"/>
      <c r="I70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3">
        <v>2</v>
      </c>
      <c r="K70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3">
        <v>1</v>
      </c>
    </row>
    <row r="704" spans="1:13" hidden="1" x14ac:dyDescent="0.3">
      <c r="A704" s="9">
        <v>46204</v>
      </c>
      <c r="B704" s="45" t="s">
        <v>18</v>
      </c>
      <c r="C704" s="10">
        <v>121000</v>
      </c>
      <c r="D704" t="s">
        <v>19</v>
      </c>
      <c r="E704" t="s">
        <v>95</v>
      </c>
      <c r="F704" t="s">
        <v>132</v>
      </c>
      <c r="G704"/>
      <c r="H704" s="11"/>
      <c r="I70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04">
        <v>1</v>
      </c>
      <c r="K70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4">
        <v>1</v>
      </c>
    </row>
    <row r="705" spans="1:13" hidden="1" x14ac:dyDescent="0.3">
      <c r="A705" s="9">
        <v>46204</v>
      </c>
      <c r="B705" s="45" t="s">
        <v>147</v>
      </c>
      <c r="C705" s="10">
        <v>101000</v>
      </c>
      <c r="D705" t="s">
        <v>146</v>
      </c>
      <c r="E705" t="s">
        <v>95</v>
      </c>
      <c r="F705" t="s">
        <v>132</v>
      </c>
      <c r="G705"/>
      <c r="H705" s="11"/>
      <c r="I7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5">
        <v>2</v>
      </c>
      <c r="K70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5">
        <v>1</v>
      </c>
    </row>
    <row r="706" spans="1:13" hidden="1" x14ac:dyDescent="0.3">
      <c r="A706" s="9">
        <v>46204</v>
      </c>
      <c r="B706" s="45" t="s">
        <v>188</v>
      </c>
      <c r="C706" s="10">
        <v>91000</v>
      </c>
      <c r="D706" t="s">
        <v>38</v>
      </c>
      <c r="E706" t="s">
        <v>95</v>
      </c>
      <c r="F706" t="s">
        <v>132</v>
      </c>
      <c r="G706"/>
      <c r="H706" s="11"/>
      <c r="I70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6">
        <v>2</v>
      </c>
      <c r="K70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6">
        <v>1</v>
      </c>
      <c r="M706" t="s">
        <v>160</v>
      </c>
    </row>
    <row r="707" spans="1:13" hidden="1" x14ac:dyDescent="0.3">
      <c r="A707" s="9">
        <v>46204</v>
      </c>
      <c r="B707" s="45" t="s">
        <v>185</v>
      </c>
      <c r="C707" s="10">
        <v>100000</v>
      </c>
      <c r="D707" t="s">
        <v>52</v>
      </c>
      <c r="E707" t="s">
        <v>95</v>
      </c>
      <c r="F707" t="s">
        <v>132</v>
      </c>
      <c r="G707"/>
      <c r="H707" s="11"/>
      <c r="I70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7">
        <v>2</v>
      </c>
      <c r="K70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7">
        <v>1</v>
      </c>
    </row>
    <row r="708" spans="1:13" hidden="1" x14ac:dyDescent="0.3">
      <c r="A708" s="9">
        <v>46204</v>
      </c>
      <c r="B708" s="45" t="s">
        <v>148</v>
      </c>
      <c r="C708" s="10">
        <v>60047</v>
      </c>
      <c r="D708" t="s">
        <v>146</v>
      </c>
      <c r="E708" t="s">
        <v>95</v>
      </c>
      <c r="F708" t="s">
        <v>132</v>
      </c>
      <c r="G708"/>
      <c r="H708" s="11"/>
      <c r="I70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8">
        <v>2</v>
      </c>
      <c r="K70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8">
        <v>1</v>
      </c>
    </row>
    <row r="709" spans="1:13" hidden="1" x14ac:dyDescent="0.3">
      <c r="A709" s="9">
        <v>46204</v>
      </c>
      <c r="B709" s="45" t="s">
        <v>158</v>
      </c>
      <c r="C709" s="10">
        <v>40000</v>
      </c>
      <c r="D709" t="s">
        <v>16</v>
      </c>
      <c r="E709" t="s">
        <v>95</v>
      </c>
      <c r="F709" t="s">
        <v>132</v>
      </c>
      <c r="G709"/>
      <c r="H709" s="11"/>
      <c r="I70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09">
        <v>2</v>
      </c>
      <c r="K70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09">
        <v>1</v>
      </c>
    </row>
    <row r="710" spans="1:13" hidden="1" x14ac:dyDescent="0.3">
      <c r="A710" s="9">
        <v>46204</v>
      </c>
      <c r="B710" s="45" t="s">
        <v>128</v>
      </c>
      <c r="C710" s="10">
        <v>38000</v>
      </c>
      <c r="D710" t="s">
        <v>16</v>
      </c>
      <c r="E710" t="s">
        <v>95</v>
      </c>
      <c r="F710" t="s">
        <v>132</v>
      </c>
      <c r="G710"/>
      <c r="H710" s="11"/>
      <c r="I71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10">
        <v>1</v>
      </c>
      <c r="K71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0">
        <v>1</v>
      </c>
    </row>
    <row r="711" spans="1:13" hidden="1" x14ac:dyDescent="0.3">
      <c r="A711" s="9">
        <v>46204</v>
      </c>
      <c r="B711" s="45" t="s">
        <v>37</v>
      </c>
      <c r="C711" s="10">
        <v>37500</v>
      </c>
      <c r="D711" t="s">
        <v>38</v>
      </c>
      <c r="E711" t="s">
        <v>95</v>
      </c>
      <c r="F711" t="s">
        <v>132</v>
      </c>
      <c r="G711"/>
      <c r="H711" s="11"/>
      <c r="I71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11">
        <v>1</v>
      </c>
      <c r="K71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1">
        <v>1</v>
      </c>
    </row>
    <row r="712" spans="1:13" hidden="1" x14ac:dyDescent="0.3">
      <c r="A712" s="9">
        <v>46204</v>
      </c>
      <c r="B712" s="45" t="s">
        <v>189</v>
      </c>
      <c r="C712" s="10">
        <v>34000</v>
      </c>
      <c r="D712" t="s">
        <v>38</v>
      </c>
      <c r="E712" t="s">
        <v>95</v>
      </c>
      <c r="F712" t="s">
        <v>132</v>
      </c>
      <c r="G712"/>
      <c r="H712" s="11"/>
      <c r="I71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12">
        <v>2</v>
      </c>
      <c r="K71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2">
        <v>1</v>
      </c>
      <c r="M712" t="s">
        <v>160</v>
      </c>
    </row>
    <row r="713" spans="1:13" hidden="1" x14ac:dyDescent="0.3">
      <c r="A713" s="9">
        <v>46204</v>
      </c>
      <c r="B713" s="45" t="s">
        <v>181</v>
      </c>
      <c r="C713" s="10">
        <v>3894</v>
      </c>
      <c r="D713" t="s">
        <v>118</v>
      </c>
      <c r="E713" t="s">
        <v>95</v>
      </c>
      <c r="F713" t="s">
        <v>137</v>
      </c>
      <c r="G713">
        <v>1</v>
      </c>
      <c r="H713" s="11">
        <v>1</v>
      </c>
      <c r="I71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13">
        <v>2</v>
      </c>
      <c r="K71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3">
        <v>1</v>
      </c>
      <c r="M713" t="s">
        <v>166</v>
      </c>
    </row>
    <row r="714" spans="1:13" hidden="1" x14ac:dyDescent="0.3">
      <c r="A714" s="9">
        <v>46204</v>
      </c>
      <c r="B714" s="45" t="s">
        <v>153</v>
      </c>
      <c r="C714" s="10">
        <v>58079</v>
      </c>
      <c r="D714" t="s">
        <v>118</v>
      </c>
      <c r="E714" t="s">
        <v>95</v>
      </c>
      <c r="F714" t="s">
        <v>137</v>
      </c>
      <c r="G714">
        <v>12</v>
      </c>
      <c r="H714" s="11">
        <v>8</v>
      </c>
      <c r="I71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14">
        <v>2</v>
      </c>
      <c r="K71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4">
        <v>1</v>
      </c>
      <c r="M714" t="s">
        <v>171</v>
      </c>
    </row>
    <row r="715" spans="1:13" hidden="1" x14ac:dyDescent="0.3">
      <c r="A715" s="9">
        <v>46204</v>
      </c>
      <c r="B715" s="45" t="s">
        <v>164</v>
      </c>
      <c r="C715" s="10">
        <v>23666</v>
      </c>
      <c r="D715" t="s">
        <v>118</v>
      </c>
      <c r="E715" t="s">
        <v>95</v>
      </c>
      <c r="F715" t="s">
        <v>137</v>
      </c>
      <c r="G715">
        <v>6</v>
      </c>
      <c r="H715" s="11">
        <v>6</v>
      </c>
      <c r="I715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15">
        <v>1</v>
      </c>
      <c r="K71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5">
        <v>1</v>
      </c>
      <c r="M715" t="s">
        <v>177</v>
      </c>
    </row>
    <row r="716" spans="1:13" hidden="1" x14ac:dyDescent="0.3">
      <c r="A716" s="9">
        <v>46204</v>
      </c>
      <c r="B716" s="45" t="s">
        <v>102</v>
      </c>
      <c r="C716" s="10">
        <v>18450</v>
      </c>
      <c r="D716" t="s">
        <v>27</v>
      </c>
      <c r="E716" t="s">
        <v>95</v>
      </c>
      <c r="F716" t="s">
        <v>132</v>
      </c>
      <c r="G716"/>
      <c r="H716" s="11"/>
      <c r="I71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16">
        <v>2</v>
      </c>
      <c r="K71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6">
        <v>1</v>
      </c>
    </row>
    <row r="717" spans="1:13" hidden="1" x14ac:dyDescent="0.3">
      <c r="A717" s="9">
        <v>46204</v>
      </c>
      <c r="B717" s="45" t="s">
        <v>100</v>
      </c>
      <c r="C717" s="10">
        <v>16809</v>
      </c>
      <c r="D717" t="s">
        <v>23</v>
      </c>
      <c r="E717" t="s">
        <v>95</v>
      </c>
      <c r="F717" t="s">
        <v>132</v>
      </c>
      <c r="G717"/>
      <c r="H717" s="11"/>
      <c r="I71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17">
        <v>1</v>
      </c>
      <c r="K71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7">
        <v>1</v>
      </c>
    </row>
    <row r="718" spans="1:13" hidden="1" x14ac:dyDescent="0.3">
      <c r="A718" s="9">
        <v>46204</v>
      </c>
      <c r="B718" s="45" t="s">
        <v>98</v>
      </c>
      <c r="C718" s="10">
        <v>10000</v>
      </c>
      <c r="D718" t="s">
        <v>23</v>
      </c>
      <c r="E718" t="s">
        <v>95</v>
      </c>
      <c r="F718" t="s">
        <v>132</v>
      </c>
      <c r="G718"/>
      <c r="H718" s="11"/>
      <c r="I71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18">
        <v>1</v>
      </c>
      <c r="K71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8">
        <v>1</v>
      </c>
    </row>
    <row r="719" spans="1:13" hidden="1" x14ac:dyDescent="0.3">
      <c r="A719" s="9">
        <v>46204</v>
      </c>
      <c r="B719" s="45" t="s">
        <v>143</v>
      </c>
      <c r="C719" s="10">
        <v>9765</v>
      </c>
      <c r="D719" t="s">
        <v>27</v>
      </c>
      <c r="E719" t="s">
        <v>95</v>
      </c>
      <c r="F719" t="s">
        <v>132</v>
      </c>
      <c r="G719"/>
      <c r="H719" s="11"/>
      <c r="I71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19">
        <v>2</v>
      </c>
      <c r="K71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19">
        <v>1</v>
      </c>
    </row>
    <row r="720" spans="1:13" hidden="1" x14ac:dyDescent="0.3">
      <c r="A720" s="9">
        <v>46204</v>
      </c>
      <c r="B720" s="45" t="s">
        <v>187</v>
      </c>
      <c r="C720" s="10">
        <v>8000</v>
      </c>
      <c r="D720" t="s">
        <v>27</v>
      </c>
      <c r="E720" t="s">
        <v>95</v>
      </c>
      <c r="F720" t="s">
        <v>132</v>
      </c>
      <c r="G720"/>
      <c r="H720" s="11"/>
      <c r="I72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0">
        <v>2</v>
      </c>
      <c r="K72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0">
        <v>1</v>
      </c>
    </row>
    <row r="721" spans="1:13" hidden="1" x14ac:dyDescent="0.3">
      <c r="A721" s="9">
        <v>46204</v>
      </c>
      <c r="B721" s="45" t="s">
        <v>103</v>
      </c>
      <c r="C721" s="10">
        <v>4350</v>
      </c>
      <c r="D721" t="s">
        <v>27</v>
      </c>
      <c r="E721" t="s">
        <v>95</v>
      </c>
      <c r="F721" t="s">
        <v>132</v>
      </c>
      <c r="G721"/>
      <c r="H721" s="11"/>
      <c r="I72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1">
        <v>2</v>
      </c>
      <c r="K72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1">
        <v>1</v>
      </c>
    </row>
    <row r="722" spans="1:13" hidden="1" x14ac:dyDescent="0.3">
      <c r="A722" s="9">
        <v>46204</v>
      </c>
      <c r="B722" s="45" t="s">
        <v>104</v>
      </c>
      <c r="C722" s="10">
        <v>3680</v>
      </c>
      <c r="D722" t="s">
        <v>27</v>
      </c>
      <c r="E722" t="s">
        <v>95</v>
      </c>
      <c r="F722" t="s">
        <v>132</v>
      </c>
      <c r="G722"/>
      <c r="H722" s="11"/>
      <c r="I7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2">
        <v>2</v>
      </c>
      <c r="K72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2">
        <v>1</v>
      </c>
    </row>
    <row r="723" spans="1:13" hidden="1" x14ac:dyDescent="0.3">
      <c r="A723" s="9">
        <v>46204</v>
      </c>
      <c r="B723" s="45" t="s">
        <v>96</v>
      </c>
      <c r="C723" s="10">
        <v>2158</v>
      </c>
      <c r="D723" t="s">
        <v>27</v>
      </c>
      <c r="E723" t="s">
        <v>95</v>
      </c>
      <c r="F723" t="s">
        <v>132</v>
      </c>
      <c r="G723"/>
      <c r="H723" s="11"/>
      <c r="I72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3">
        <v>2</v>
      </c>
      <c r="K72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3">
        <v>1</v>
      </c>
    </row>
    <row r="724" spans="1:13" hidden="1" x14ac:dyDescent="0.3">
      <c r="A724" s="9">
        <v>46235</v>
      </c>
      <c r="B724" s="45" t="s">
        <v>34</v>
      </c>
      <c r="C724" s="46">
        <v>2876802</v>
      </c>
      <c r="D724" t="s">
        <v>35</v>
      </c>
      <c r="E724" t="s">
        <v>35</v>
      </c>
      <c r="F724" t="s">
        <v>135</v>
      </c>
      <c r="G724"/>
      <c r="H724" s="11"/>
      <c r="I724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724">
        <v>4</v>
      </c>
      <c r="K724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724">
        <v>4</v>
      </c>
    </row>
    <row r="725" spans="1:13" hidden="1" x14ac:dyDescent="0.3">
      <c r="A725" s="9">
        <v>46235</v>
      </c>
      <c r="B725" s="45" t="s">
        <v>86</v>
      </c>
      <c r="C725" s="10">
        <v>450000</v>
      </c>
      <c r="D725" t="s">
        <v>16</v>
      </c>
      <c r="E725" t="s">
        <v>95</v>
      </c>
      <c r="F725" t="s">
        <v>132</v>
      </c>
      <c r="G725"/>
      <c r="H725" s="11"/>
      <c r="I72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5">
        <v>2</v>
      </c>
      <c r="K72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5">
        <v>1</v>
      </c>
    </row>
    <row r="726" spans="1:13" hidden="1" x14ac:dyDescent="0.3">
      <c r="A726" s="9">
        <v>46235</v>
      </c>
      <c r="B726" s="45" t="s">
        <v>146</v>
      </c>
      <c r="C726" s="10">
        <v>431000</v>
      </c>
      <c r="D726" t="s">
        <v>146</v>
      </c>
      <c r="E726" t="s">
        <v>95</v>
      </c>
      <c r="F726" t="s">
        <v>137</v>
      </c>
      <c r="G726">
        <v>48</v>
      </c>
      <c r="H726" s="11">
        <v>7</v>
      </c>
      <c r="I72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6">
        <v>2</v>
      </c>
      <c r="K72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6">
        <v>1</v>
      </c>
      <c r="M726" t="s">
        <v>177</v>
      </c>
    </row>
    <row r="727" spans="1:13" hidden="1" x14ac:dyDescent="0.3">
      <c r="A727" s="9">
        <v>46235</v>
      </c>
      <c r="B727" s="45" t="s">
        <v>134</v>
      </c>
      <c r="C727" s="10">
        <v>320000</v>
      </c>
      <c r="D727" t="s">
        <v>52</v>
      </c>
      <c r="E727" t="s">
        <v>95</v>
      </c>
      <c r="F727" t="s">
        <v>132</v>
      </c>
      <c r="G727"/>
      <c r="H727" s="11"/>
      <c r="I72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7">
        <v>2</v>
      </c>
      <c r="K727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7">
        <v>1</v>
      </c>
    </row>
    <row r="728" spans="1:13" hidden="1" x14ac:dyDescent="0.3">
      <c r="A728" s="9">
        <v>46235</v>
      </c>
      <c r="B728" s="45" t="s">
        <v>141</v>
      </c>
      <c r="C728" s="10">
        <v>234786</v>
      </c>
      <c r="D728" t="s">
        <v>38</v>
      </c>
      <c r="E728" t="s">
        <v>95</v>
      </c>
      <c r="F728" t="s">
        <v>132</v>
      </c>
      <c r="G728"/>
      <c r="H728" s="11"/>
      <c r="I72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28">
        <v>2</v>
      </c>
      <c r="K728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28">
        <v>1</v>
      </c>
    </row>
    <row r="729" spans="1:13" hidden="1" x14ac:dyDescent="0.3">
      <c r="A729" s="9">
        <v>46235</v>
      </c>
      <c r="B729" s="45" t="s">
        <v>133</v>
      </c>
      <c r="C729" s="10">
        <v>194350</v>
      </c>
      <c r="D729" t="s">
        <v>19</v>
      </c>
      <c r="E729" t="s">
        <v>95</v>
      </c>
      <c r="F729" t="s">
        <v>132</v>
      </c>
      <c r="G729"/>
      <c r="H729" s="11"/>
      <c r="I72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29">
        <v>1</v>
      </c>
      <c r="K729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29">
        <v>3</v>
      </c>
    </row>
    <row r="730" spans="1:13" hidden="1" x14ac:dyDescent="0.3">
      <c r="A730" s="9">
        <v>46235</v>
      </c>
      <c r="B730" s="45" t="s">
        <v>129</v>
      </c>
      <c r="C730" s="10">
        <v>150000</v>
      </c>
      <c r="D730" t="s">
        <v>52</v>
      </c>
      <c r="E730" t="s">
        <v>95</v>
      </c>
      <c r="F730" t="s">
        <v>132</v>
      </c>
      <c r="G730"/>
      <c r="H730" s="11"/>
      <c r="I73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0">
        <v>2</v>
      </c>
      <c r="K73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0">
        <v>1</v>
      </c>
    </row>
    <row r="731" spans="1:13" hidden="1" x14ac:dyDescent="0.3">
      <c r="A731" s="9">
        <v>46235</v>
      </c>
      <c r="B731" s="45" t="s">
        <v>97</v>
      </c>
      <c r="C731" s="10">
        <v>216389</v>
      </c>
      <c r="D731" t="s">
        <v>97</v>
      </c>
      <c r="E731" t="s">
        <v>95</v>
      </c>
      <c r="F731" t="s">
        <v>132</v>
      </c>
      <c r="G731"/>
      <c r="H731" s="11"/>
      <c r="I73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1">
        <v>2</v>
      </c>
      <c r="K73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31">
        <v>3</v>
      </c>
    </row>
    <row r="732" spans="1:13" hidden="1" x14ac:dyDescent="0.3">
      <c r="A732" s="9">
        <v>46235</v>
      </c>
      <c r="B732" s="45" t="s">
        <v>18</v>
      </c>
      <c r="C732" s="10">
        <v>128800</v>
      </c>
      <c r="D732" t="s">
        <v>19</v>
      </c>
      <c r="E732" t="s">
        <v>95</v>
      </c>
      <c r="F732" t="s">
        <v>132</v>
      </c>
      <c r="G732"/>
      <c r="H732" s="11"/>
      <c r="I73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32">
        <v>1</v>
      </c>
      <c r="K73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32">
        <v>3</v>
      </c>
    </row>
    <row r="733" spans="1:13" hidden="1" x14ac:dyDescent="0.3">
      <c r="A733" s="9">
        <v>46235</v>
      </c>
      <c r="B733" s="45" t="s">
        <v>147</v>
      </c>
      <c r="C733" s="10">
        <v>112000</v>
      </c>
      <c r="D733" t="s">
        <v>146</v>
      </c>
      <c r="E733" t="s">
        <v>95</v>
      </c>
      <c r="F733" t="s">
        <v>132</v>
      </c>
      <c r="G733"/>
      <c r="H733" s="11"/>
      <c r="I73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3">
        <v>2</v>
      </c>
      <c r="K733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3">
        <v>1</v>
      </c>
    </row>
    <row r="734" spans="1:13" hidden="1" x14ac:dyDescent="0.3">
      <c r="A734" s="9">
        <v>46235</v>
      </c>
      <c r="B734" s="45" t="s">
        <v>185</v>
      </c>
      <c r="C734" s="10">
        <v>0</v>
      </c>
      <c r="D734" t="s">
        <v>52</v>
      </c>
      <c r="E734" t="s">
        <v>95</v>
      </c>
      <c r="F734" t="s">
        <v>132</v>
      </c>
      <c r="G734"/>
      <c r="H734" s="11"/>
      <c r="I73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4">
        <v>2</v>
      </c>
      <c r="K734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4">
        <v>1</v>
      </c>
    </row>
    <row r="735" spans="1:13" hidden="1" x14ac:dyDescent="0.3">
      <c r="A735" s="9">
        <v>46235</v>
      </c>
      <c r="B735" s="45" t="s">
        <v>148</v>
      </c>
      <c r="C735" s="10">
        <v>60067</v>
      </c>
      <c r="D735" t="s">
        <v>146</v>
      </c>
      <c r="E735" t="s">
        <v>95</v>
      </c>
      <c r="F735" t="s">
        <v>132</v>
      </c>
      <c r="G735"/>
      <c r="H735" s="11"/>
      <c r="I73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5">
        <v>2</v>
      </c>
      <c r="K735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5">
        <v>1</v>
      </c>
    </row>
    <row r="736" spans="1:13" hidden="1" x14ac:dyDescent="0.3">
      <c r="A736" s="9">
        <v>46235</v>
      </c>
      <c r="B736" s="45" t="s">
        <v>158</v>
      </c>
      <c r="C736" s="10">
        <v>40000</v>
      </c>
      <c r="D736" t="s">
        <v>16</v>
      </c>
      <c r="E736" t="s">
        <v>95</v>
      </c>
      <c r="F736" t="s">
        <v>132</v>
      </c>
      <c r="G736"/>
      <c r="H736" s="11"/>
      <c r="I73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6">
        <v>2</v>
      </c>
      <c r="K736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6">
        <v>1</v>
      </c>
    </row>
    <row r="737" spans="1:13" hidden="1" x14ac:dyDescent="0.3">
      <c r="A737" s="9">
        <v>46235</v>
      </c>
      <c r="B737" s="45" t="s">
        <v>128</v>
      </c>
      <c r="C737" s="10">
        <v>38000</v>
      </c>
      <c r="D737" t="s">
        <v>16</v>
      </c>
      <c r="E737" t="s">
        <v>95</v>
      </c>
      <c r="F737" t="s">
        <v>132</v>
      </c>
      <c r="G737"/>
      <c r="H737" s="11"/>
      <c r="I73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37">
        <v>1</v>
      </c>
      <c r="K73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37">
        <v>3</v>
      </c>
    </row>
    <row r="738" spans="1:13" hidden="1" x14ac:dyDescent="0.3">
      <c r="A738" s="9">
        <v>46235</v>
      </c>
      <c r="B738" s="45" t="s">
        <v>37</v>
      </c>
      <c r="C738" s="10">
        <v>44000</v>
      </c>
      <c r="D738" t="s">
        <v>38</v>
      </c>
      <c r="E738" t="s">
        <v>95</v>
      </c>
      <c r="F738" t="s">
        <v>132</v>
      </c>
      <c r="G738"/>
      <c r="H738" s="11"/>
      <c r="I738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38">
        <v>1</v>
      </c>
      <c r="K73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38">
        <v>3</v>
      </c>
    </row>
    <row r="739" spans="1:13" hidden="1" x14ac:dyDescent="0.3">
      <c r="A739" s="9">
        <v>46235</v>
      </c>
      <c r="B739" s="45" t="s">
        <v>190</v>
      </c>
      <c r="C739" s="10">
        <v>28279</v>
      </c>
      <c r="D739" t="s">
        <v>118</v>
      </c>
      <c r="E739" t="s">
        <v>95</v>
      </c>
      <c r="F739" t="s">
        <v>137</v>
      </c>
      <c r="G739">
        <v>1</v>
      </c>
      <c r="H739" s="11">
        <v>12</v>
      </c>
      <c r="I73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39">
        <v>2</v>
      </c>
      <c r="K73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39">
        <v>1</v>
      </c>
      <c r="M739" t="s">
        <v>160</v>
      </c>
    </row>
    <row r="740" spans="1:13" hidden="1" x14ac:dyDescent="0.3">
      <c r="A740" s="9">
        <v>46235</v>
      </c>
      <c r="B740" s="45" t="s">
        <v>153</v>
      </c>
      <c r="C740" s="10">
        <v>52345</v>
      </c>
      <c r="D740" t="s">
        <v>118</v>
      </c>
      <c r="E740" t="s">
        <v>95</v>
      </c>
      <c r="F740" t="s">
        <v>137</v>
      </c>
      <c r="G740">
        <v>12</v>
      </c>
      <c r="H740" s="11">
        <v>8</v>
      </c>
      <c r="I74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0">
        <v>2</v>
      </c>
      <c r="K74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40">
        <v>1</v>
      </c>
      <c r="M740" t="s">
        <v>171</v>
      </c>
    </row>
    <row r="741" spans="1:13" hidden="1" x14ac:dyDescent="0.3">
      <c r="A741" s="9">
        <v>46235</v>
      </c>
      <c r="B741" s="45" t="s">
        <v>102</v>
      </c>
      <c r="C741" s="10">
        <v>18450</v>
      </c>
      <c r="D741" t="s">
        <v>27</v>
      </c>
      <c r="E741" t="s">
        <v>95</v>
      </c>
      <c r="F741" t="s">
        <v>132</v>
      </c>
      <c r="G741"/>
      <c r="H741" s="11"/>
      <c r="I74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1">
        <v>2</v>
      </c>
      <c r="K741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1">
        <v>3</v>
      </c>
    </row>
    <row r="742" spans="1:13" hidden="1" x14ac:dyDescent="0.3">
      <c r="A742" s="9">
        <v>46235</v>
      </c>
      <c r="B742" s="45" t="s">
        <v>100</v>
      </c>
      <c r="C742" s="10">
        <v>16809</v>
      </c>
      <c r="D742" t="s">
        <v>23</v>
      </c>
      <c r="E742" t="s">
        <v>95</v>
      </c>
      <c r="F742" t="s">
        <v>132</v>
      </c>
      <c r="G742"/>
      <c r="H742" s="11"/>
      <c r="I74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42">
        <v>1</v>
      </c>
      <c r="K742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2">
        <v>3</v>
      </c>
    </row>
    <row r="743" spans="1:13" hidden="1" x14ac:dyDescent="0.3">
      <c r="A743" s="9">
        <v>46235</v>
      </c>
      <c r="B743" s="45" t="s">
        <v>98</v>
      </c>
      <c r="C743" s="10">
        <v>10000</v>
      </c>
      <c r="D743" t="s">
        <v>23</v>
      </c>
      <c r="E743" t="s">
        <v>95</v>
      </c>
      <c r="F743" t="s">
        <v>132</v>
      </c>
      <c r="G743"/>
      <c r="H743" s="11"/>
      <c r="I74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43">
        <v>1</v>
      </c>
      <c r="K74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3">
        <v>3</v>
      </c>
    </row>
    <row r="744" spans="1:13" hidden="1" x14ac:dyDescent="0.3">
      <c r="A744" s="9">
        <v>46235</v>
      </c>
      <c r="B744" s="45" t="s">
        <v>143</v>
      </c>
      <c r="C744" s="10">
        <v>9765</v>
      </c>
      <c r="D744" t="s">
        <v>27</v>
      </c>
      <c r="E744" t="s">
        <v>95</v>
      </c>
      <c r="F744" t="s">
        <v>132</v>
      </c>
      <c r="G744"/>
      <c r="H744" s="11"/>
      <c r="I74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4">
        <v>2</v>
      </c>
      <c r="K744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4">
        <v>3</v>
      </c>
    </row>
    <row r="745" spans="1:13" hidden="1" x14ac:dyDescent="0.3">
      <c r="A745" s="9">
        <v>46235</v>
      </c>
      <c r="B745" s="45" t="s">
        <v>187</v>
      </c>
      <c r="C745" s="10">
        <v>8000</v>
      </c>
      <c r="D745" t="s">
        <v>27</v>
      </c>
      <c r="E745" t="s">
        <v>95</v>
      </c>
      <c r="F745" t="s">
        <v>132</v>
      </c>
      <c r="G745"/>
      <c r="H745" s="11"/>
      <c r="I74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5">
        <v>2</v>
      </c>
      <c r="K745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5">
        <v>3</v>
      </c>
    </row>
    <row r="746" spans="1:13" hidden="1" x14ac:dyDescent="0.3">
      <c r="A746" s="9">
        <v>46235</v>
      </c>
      <c r="B746" s="45" t="s">
        <v>103</v>
      </c>
      <c r="C746" s="10">
        <v>4350</v>
      </c>
      <c r="D746" t="s">
        <v>27</v>
      </c>
      <c r="E746" t="s">
        <v>95</v>
      </c>
      <c r="F746" t="s">
        <v>132</v>
      </c>
      <c r="G746"/>
      <c r="H746" s="11"/>
      <c r="I74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6">
        <v>2</v>
      </c>
      <c r="K746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6">
        <v>3</v>
      </c>
    </row>
    <row r="747" spans="1:13" hidden="1" x14ac:dyDescent="0.3">
      <c r="A747" s="9">
        <v>46235</v>
      </c>
      <c r="B747" s="45" t="s">
        <v>104</v>
      </c>
      <c r="C747" s="10">
        <v>3680</v>
      </c>
      <c r="D747" t="s">
        <v>27</v>
      </c>
      <c r="E747" t="s">
        <v>95</v>
      </c>
      <c r="F747" t="s">
        <v>132</v>
      </c>
      <c r="G747"/>
      <c r="H747" s="11"/>
      <c r="I74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7">
        <v>2</v>
      </c>
      <c r="K747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7">
        <v>3</v>
      </c>
    </row>
    <row r="748" spans="1:13" hidden="1" x14ac:dyDescent="0.3">
      <c r="A748" s="9">
        <v>46235</v>
      </c>
      <c r="B748" s="45" t="s">
        <v>96</v>
      </c>
      <c r="C748" s="10">
        <v>2158</v>
      </c>
      <c r="D748" t="s">
        <v>27</v>
      </c>
      <c r="E748" t="s">
        <v>95</v>
      </c>
      <c r="F748" t="s">
        <v>132</v>
      </c>
      <c r="G748"/>
      <c r="H748" s="11"/>
      <c r="I74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8">
        <v>2</v>
      </c>
      <c r="K748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48">
        <v>3</v>
      </c>
    </row>
    <row r="749" spans="1:13" hidden="1" x14ac:dyDescent="0.3">
      <c r="A749" s="9">
        <v>46235</v>
      </c>
      <c r="B749" s="45" t="s">
        <v>191</v>
      </c>
      <c r="C749" s="10">
        <v>137763</v>
      </c>
      <c r="D749" t="s">
        <v>118</v>
      </c>
      <c r="E749" t="s">
        <v>95</v>
      </c>
      <c r="F749" t="s">
        <v>132</v>
      </c>
      <c r="G749">
        <v>1</v>
      </c>
      <c r="H749" s="11">
        <v>1</v>
      </c>
      <c r="I74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49">
        <v>2</v>
      </c>
      <c r="K749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49">
        <v>1</v>
      </c>
      <c r="M749" t="s">
        <v>160</v>
      </c>
    </row>
    <row r="750" spans="1:13" hidden="1" x14ac:dyDescent="0.3">
      <c r="A750" s="9">
        <v>46235</v>
      </c>
      <c r="B750" s="45" t="s">
        <v>192</v>
      </c>
      <c r="C750" s="10">
        <v>3490</v>
      </c>
      <c r="D750" t="s">
        <v>27</v>
      </c>
      <c r="E750" t="s">
        <v>95</v>
      </c>
      <c r="F750" t="s">
        <v>132</v>
      </c>
      <c r="G750"/>
      <c r="H750" s="11"/>
      <c r="I75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0">
        <v>2</v>
      </c>
      <c r="K750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50">
        <v>1</v>
      </c>
      <c r="M750" t="s">
        <v>160</v>
      </c>
    </row>
    <row r="751" spans="1:13" hidden="1" x14ac:dyDescent="0.3">
      <c r="A751" s="9">
        <v>46235</v>
      </c>
      <c r="B751" s="45" t="s">
        <v>175</v>
      </c>
      <c r="C751" s="10">
        <v>4499</v>
      </c>
      <c r="D751" t="s">
        <v>118</v>
      </c>
      <c r="E751" t="s">
        <v>95</v>
      </c>
      <c r="F751" t="s">
        <v>137</v>
      </c>
      <c r="G751">
        <v>2</v>
      </c>
      <c r="H751" s="11">
        <v>2</v>
      </c>
      <c r="I75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1">
        <v>2</v>
      </c>
      <c r="K75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51">
        <v>1</v>
      </c>
      <c r="M751" t="s">
        <v>160</v>
      </c>
    </row>
    <row r="752" spans="1:13" hidden="1" x14ac:dyDescent="0.3">
      <c r="A752" s="9">
        <v>46235</v>
      </c>
      <c r="B752" s="45" t="s">
        <v>193</v>
      </c>
      <c r="C752" s="10">
        <v>5542</v>
      </c>
      <c r="D752" t="s">
        <v>118</v>
      </c>
      <c r="E752" t="s">
        <v>95</v>
      </c>
      <c r="F752" t="s">
        <v>137</v>
      </c>
      <c r="G752">
        <v>2</v>
      </c>
      <c r="H752" s="11">
        <v>6</v>
      </c>
      <c r="I75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2">
        <v>2</v>
      </c>
      <c r="K752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52">
        <v>1</v>
      </c>
      <c r="M752" t="s">
        <v>160</v>
      </c>
    </row>
    <row r="753" spans="1:13" hidden="1" x14ac:dyDescent="0.3">
      <c r="A753" s="9">
        <v>46235</v>
      </c>
      <c r="B753" s="45" t="s">
        <v>156</v>
      </c>
      <c r="C753" s="10">
        <v>35000</v>
      </c>
      <c r="D753" t="s">
        <v>194</v>
      </c>
      <c r="E753" t="s">
        <v>95</v>
      </c>
      <c r="F753" t="s">
        <v>137</v>
      </c>
      <c r="G753">
        <v>1</v>
      </c>
      <c r="H753" s="11">
        <v>6</v>
      </c>
      <c r="I75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53">
        <v>1</v>
      </c>
      <c r="K753" t="str">
        <f>IF(Cuentas_personales[[#This Row],[Pagado]]=$M$2,O$2,IF(Cuentas_personales[[#This Row],[Pagado]]=$M$3,$O$3,IF(Cuentas_personales[[#This Row],[Pagado]]=$M$4,$O$4,IF(Cuentas_personales[[#This Row],[Pagado]]=$M$5,$O$5,"Nii"))))</f>
        <v>En reserva</v>
      </c>
      <c r="L753">
        <v>3</v>
      </c>
      <c r="M753" t="s">
        <v>177</v>
      </c>
    </row>
    <row r="754" spans="1:13" hidden="1" x14ac:dyDescent="0.3">
      <c r="B754" s="45"/>
      <c r="C754" s="10"/>
      <c r="I754" t="str">
        <f>IF(Cuentas_personales[[#This Row],[Fijo]]=$M$2,N$2,IF(Cuentas_personales[[#This Row],[Fijo]]=$M$3,$N$3,IF(Cuentas_personales[[#This Row],[Fijo]]=$M$4,$N$4,IF(Cuentas_personales[[#This Row],[Fijo]]=$M$5,$N$5,"Nii"))))</f>
        <v>Nii</v>
      </c>
      <c r="K754" t="str">
        <f>IF(Cuentas_personales[[#This Row],[Pagado]]=$M$2,O$2,IF(Cuentas_personales[[#This Row],[Pagado]]=$M$3,$O$3,IF(Cuentas_personales[[#This Row],[Pagado]]=$M$4,$O$4,IF(Cuentas_personales[[#This Row],[Pagado]]=$M$5,$O$5,"Nii"))))</f>
        <v>Nii</v>
      </c>
    </row>
    <row r="755" spans="1:13" x14ac:dyDescent="0.3">
      <c r="A755" s="9">
        <v>46266</v>
      </c>
      <c r="B755" s="45" t="s">
        <v>34</v>
      </c>
      <c r="C755" s="10">
        <v>3347307</v>
      </c>
      <c r="D755" t="s">
        <v>35</v>
      </c>
      <c r="E755" t="s">
        <v>35</v>
      </c>
      <c r="F755" t="s">
        <v>135</v>
      </c>
      <c r="G755"/>
      <c r="H755" s="11"/>
      <c r="I755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755">
        <v>4</v>
      </c>
      <c r="K755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755">
        <v>4</v>
      </c>
    </row>
    <row r="756" spans="1:13" x14ac:dyDescent="0.3">
      <c r="A756" s="9">
        <v>46266</v>
      </c>
      <c r="B756" s="45" t="s">
        <v>86</v>
      </c>
      <c r="C756" s="10">
        <v>450000</v>
      </c>
      <c r="D756" t="s">
        <v>16</v>
      </c>
      <c r="E756" t="s">
        <v>95</v>
      </c>
      <c r="F756" t="s">
        <v>132</v>
      </c>
      <c r="G756"/>
      <c r="H756" s="11"/>
      <c r="I75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6">
        <v>2</v>
      </c>
      <c r="K75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56">
        <v>2</v>
      </c>
    </row>
    <row r="757" spans="1:13" x14ac:dyDescent="0.3">
      <c r="A757" s="9">
        <v>46266</v>
      </c>
      <c r="B757" s="45" t="s">
        <v>146</v>
      </c>
      <c r="C757" s="10">
        <v>438000</v>
      </c>
      <c r="D757" t="s">
        <v>146</v>
      </c>
      <c r="E757" t="s">
        <v>95</v>
      </c>
      <c r="F757" t="s">
        <v>137</v>
      </c>
      <c r="G757">
        <v>48</v>
      </c>
      <c r="H757" s="11">
        <v>7</v>
      </c>
      <c r="I75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7">
        <v>2</v>
      </c>
      <c r="K75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57">
        <v>2</v>
      </c>
      <c r="M757" t="s">
        <v>177</v>
      </c>
    </row>
    <row r="758" spans="1:13" x14ac:dyDescent="0.3">
      <c r="A758" s="9">
        <v>46266</v>
      </c>
      <c r="B758" s="45" t="s">
        <v>134</v>
      </c>
      <c r="C758" s="10">
        <v>320000</v>
      </c>
      <c r="D758" t="s">
        <v>52</v>
      </c>
      <c r="E758" t="s">
        <v>95</v>
      </c>
      <c r="F758" t="s">
        <v>132</v>
      </c>
      <c r="G758"/>
      <c r="H758" s="11"/>
      <c r="I75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8">
        <v>2</v>
      </c>
      <c r="K75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58">
        <v>2</v>
      </c>
    </row>
    <row r="759" spans="1:13" x14ac:dyDescent="0.3">
      <c r="A759" s="9">
        <v>46266</v>
      </c>
      <c r="B759" s="45" t="s">
        <v>141</v>
      </c>
      <c r="C759" s="10">
        <v>234786</v>
      </c>
      <c r="D759" t="s">
        <v>38</v>
      </c>
      <c r="E759" t="s">
        <v>95</v>
      </c>
      <c r="F759" t="s">
        <v>132</v>
      </c>
      <c r="G759"/>
      <c r="H759" s="11"/>
      <c r="I75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59">
        <v>2</v>
      </c>
      <c r="K75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59">
        <v>2</v>
      </c>
    </row>
    <row r="760" spans="1:13" x14ac:dyDescent="0.3">
      <c r="A760" s="9">
        <v>46266</v>
      </c>
      <c r="B760" s="45" t="s">
        <v>97</v>
      </c>
      <c r="C760" s="10">
        <v>216389</v>
      </c>
      <c r="D760" t="s">
        <v>97</v>
      </c>
      <c r="E760" t="s">
        <v>95</v>
      </c>
      <c r="F760" t="s">
        <v>132</v>
      </c>
      <c r="G760"/>
      <c r="H760" s="11"/>
      <c r="I76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0">
        <v>2</v>
      </c>
      <c r="K76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0">
        <v>2</v>
      </c>
    </row>
    <row r="761" spans="1:13" x14ac:dyDescent="0.3">
      <c r="A761" s="9">
        <v>46266</v>
      </c>
      <c r="B761" s="45" t="s">
        <v>133</v>
      </c>
      <c r="C761" s="10">
        <v>194350</v>
      </c>
      <c r="D761" t="s">
        <v>19</v>
      </c>
      <c r="E761" t="s">
        <v>95</v>
      </c>
      <c r="F761" t="s">
        <v>132</v>
      </c>
      <c r="G761"/>
      <c r="H761" s="11"/>
      <c r="I76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61">
        <v>1</v>
      </c>
      <c r="K76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1">
        <v>2</v>
      </c>
    </row>
    <row r="762" spans="1:13" x14ac:dyDescent="0.3">
      <c r="A762" s="9">
        <v>46266</v>
      </c>
      <c r="B762" s="45" t="s">
        <v>129</v>
      </c>
      <c r="C762" s="10">
        <v>150000</v>
      </c>
      <c r="D762" t="s">
        <v>52</v>
      </c>
      <c r="E762" t="s">
        <v>95</v>
      </c>
      <c r="F762" t="s">
        <v>132</v>
      </c>
      <c r="G762"/>
      <c r="H762" s="11"/>
      <c r="I76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2">
        <v>2</v>
      </c>
      <c r="K76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2">
        <v>2</v>
      </c>
    </row>
    <row r="763" spans="1:13" x14ac:dyDescent="0.3">
      <c r="A763" s="9">
        <v>46266</v>
      </c>
      <c r="B763" s="45" t="s">
        <v>18</v>
      </c>
      <c r="C763" s="10">
        <v>128800</v>
      </c>
      <c r="D763" t="s">
        <v>19</v>
      </c>
      <c r="E763" t="s">
        <v>95</v>
      </c>
      <c r="F763" t="s">
        <v>132</v>
      </c>
      <c r="G763"/>
      <c r="H763" s="11"/>
      <c r="I76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63">
        <v>1</v>
      </c>
      <c r="K76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3">
        <v>2</v>
      </c>
    </row>
    <row r="764" spans="1:13" x14ac:dyDescent="0.3">
      <c r="A764" s="9">
        <v>46266</v>
      </c>
      <c r="B764" s="45" t="s">
        <v>147</v>
      </c>
      <c r="C764" s="10">
        <v>112000</v>
      </c>
      <c r="D764" t="s">
        <v>146</v>
      </c>
      <c r="E764" t="s">
        <v>95</v>
      </c>
      <c r="F764" t="s">
        <v>132</v>
      </c>
      <c r="G764"/>
      <c r="H764" s="11"/>
      <c r="I76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4">
        <v>2</v>
      </c>
      <c r="K76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4">
        <v>2</v>
      </c>
    </row>
    <row r="765" spans="1:13" x14ac:dyDescent="0.3">
      <c r="A765" s="9">
        <v>46266</v>
      </c>
      <c r="B765" s="45" t="s">
        <v>148</v>
      </c>
      <c r="C765" s="10">
        <v>60067</v>
      </c>
      <c r="D765" t="s">
        <v>146</v>
      </c>
      <c r="E765" t="s">
        <v>95</v>
      </c>
      <c r="F765" t="s">
        <v>132</v>
      </c>
      <c r="G765"/>
      <c r="H765" s="11"/>
      <c r="I76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5">
        <v>2</v>
      </c>
      <c r="K76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5">
        <v>2</v>
      </c>
    </row>
    <row r="766" spans="1:13" x14ac:dyDescent="0.3">
      <c r="A766" s="9">
        <v>46266</v>
      </c>
      <c r="B766" s="45" t="s">
        <v>153</v>
      </c>
      <c r="C766" s="10">
        <v>58079</v>
      </c>
      <c r="D766" t="s">
        <v>118</v>
      </c>
      <c r="E766" t="s">
        <v>95</v>
      </c>
      <c r="F766" t="s">
        <v>137</v>
      </c>
      <c r="G766">
        <v>12</v>
      </c>
      <c r="H766" s="11">
        <v>12</v>
      </c>
      <c r="I76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6">
        <v>2</v>
      </c>
      <c r="K76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6">
        <v>2</v>
      </c>
      <c r="M766" t="s">
        <v>171</v>
      </c>
    </row>
    <row r="767" spans="1:13" x14ac:dyDescent="0.3">
      <c r="A767" s="9">
        <v>46266</v>
      </c>
      <c r="B767" s="45" t="s">
        <v>37</v>
      </c>
      <c r="C767" s="10">
        <v>44000</v>
      </c>
      <c r="D767" t="s">
        <v>38</v>
      </c>
      <c r="E767" t="s">
        <v>95</v>
      </c>
      <c r="F767" t="s">
        <v>132</v>
      </c>
      <c r="G767"/>
      <c r="H767" s="11"/>
      <c r="I76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67">
        <v>1</v>
      </c>
      <c r="K76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7">
        <v>2</v>
      </c>
    </row>
    <row r="768" spans="1:13" x14ac:dyDescent="0.3">
      <c r="A768" s="9">
        <v>46266</v>
      </c>
      <c r="B768" s="45" t="s">
        <v>158</v>
      </c>
      <c r="C768" s="10">
        <v>40000</v>
      </c>
      <c r="D768" t="s">
        <v>16</v>
      </c>
      <c r="E768" t="s">
        <v>95</v>
      </c>
      <c r="F768" t="s">
        <v>132</v>
      </c>
      <c r="G768"/>
      <c r="H768" s="11"/>
      <c r="I76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68">
        <v>2</v>
      </c>
      <c r="K76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8">
        <v>2</v>
      </c>
    </row>
    <row r="769" spans="1:13" x14ac:dyDescent="0.3">
      <c r="A769" s="9">
        <v>46266</v>
      </c>
      <c r="B769" s="45" t="s">
        <v>128</v>
      </c>
      <c r="C769" s="10">
        <v>41000</v>
      </c>
      <c r="D769" t="s">
        <v>16</v>
      </c>
      <c r="E769" t="s">
        <v>95</v>
      </c>
      <c r="F769" t="s">
        <v>132</v>
      </c>
      <c r="G769"/>
      <c r="H769" s="11"/>
      <c r="I76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69">
        <v>1</v>
      </c>
      <c r="K76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69">
        <v>2</v>
      </c>
    </row>
    <row r="770" spans="1:13" x14ac:dyDescent="0.3">
      <c r="A770" s="9">
        <v>46266</v>
      </c>
      <c r="B770" s="45" t="s">
        <v>156</v>
      </c>
      <c r="C770" s="10">
        <v>35000</v>
      </c>
      <c r="D770" t="s">
        <v>194</v>
      </c>
      <c r="E770" t="s">
        <v>95</v>
      </c>
      <c r="F770" t="s">
        <v>137</v>
      </c>
      <c r="G770">
        <v>6</v>
      </c>
      <c r="H770" s="11">
        <v>2</v>
      </c>
      <c r="I77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70">
        <v>1</v>
      </c>
      <c r="K77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0">
        <v>2</v>
      </c>
      <c r="M770" t="s">
        <v>177</v>
      </c>
    </row>
    <row r="771" spans="1:13" x14ac:dyDescent="0.3">
      <c r="A771" s="9">
        <v>46266</v>
      </c>
      <c r="B771" s="45" t="s">
        <v>190</v>
      </c>
      <c r="C771" s="10">
        <v>28279</v>
      </c>
      <c r="D771" t="s">
        <v>118</v>
      </c>
      <c r="E771" t="s">
        <v>95</v>
      </c>
      <c r="F771" t="s">
        <v>137</v>
      </c>
      <c r="G771">
        <v>12</v>
      </c>
      <c r="H771" s="11">
        <v>2</v>
      </c>
      <c r="I77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1">
        <v>2</v>
      </c>
      <c r="K77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1">
        <v>2</v>
      </c>
      <c r="M771" t="s">
        <v>160</v>
      </c>
    </row>
    <row r="772" spans="1:13" x14ac:dyDescent="0.3">
      <c r="A772" s="9">
        <v>46266</v>
      </c>
      <c r="B772" s="45" t="s">
        <v>102</v>
      </c>
      <c r="C772" s="10">
        <v>18450</v>
      </c>
      <c r="D772" t="s">
        <v>27</v>
      </c>
      <c r="E772" t="s">
        <v>95</v>
      </c>
      <c r="F772" t="s">
        <v>132</v>
      </c>
      <c r="G772"/>
      <c r="H772" s="11"/>
      <c r="I77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2">
        <v>2</v>
      </c>
      <c r="K77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2">
        <v>2</v>
      </c>
    </row>
    <row r="773" spans="1:13" x14ac:dyDescent="0.3">
      <c r="A773" s="9">
        <v>46266</v>
      </c>
      <c r="B773" s="45" t="s">
        <v>100</v>
      </c>
      <c r="C773" s="10">
        <v>16809</v>
      </c>
      <c r="D773" t="s">
        <v>23</v>
      </c>
      <c r="E773" t="s">
        <v>95</v>
      </c>
      <c r="F773" t="s">
        <v>132</v>
      </c>
      <c r="G773"/>
      <c r="H773" s="11"/>
      <c r="I77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73">
        <v>1</v>
      </c>
      <c r="K77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3">
        <v>2</v>
      </c>
    </row>
    <row r="774" spans="1:13" x14ac:dyDescent="0.3">
      <c r="A774" s="9">
        <v>46266</v>
      </c>
      <c r="B774" s="45" t="s">
        <v>98</v>
      </c>
      <c r="C774" s="10">
        <v>10000</v>
      </c>
      <c r="D774" t="s">
        <v>23</v>
      </c>
      <c r="E774" t="s">
        <v>95</v>
      </c>
      <c r="F774" t="s">
        <v>132</v>
      </c>
      <c r="G774"/>
      <c r="H774" s="11"/>
      <c r="I77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74">
        <v>1</v>
      </c>
      <c r="K77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4">
        <v>2</v>
      </c>
    </row>
    <row r="775" spans="1:13" x14ac:dyDescent="0.3">
      <c r="A775" s="9">
        <v>46266</v>
      </c>
      <c r="B775" s="45" t="s">
        <v>143</v>
      </c>
      <c r="C775" s="10">
        <v>9765</v>
      </c>
      <c r="D775" t="s">
        <v>27</v>
      </c>
      <c r="E775" t="s">
        <v>95</v>
      </c>
      <c r="F775" t="s">
        <v>132</v>
      </c>
      <c r="G775"/>
      <c r="H775" s="11"/>
      <c r="I77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5">
        <v>2</v>
      </c>
      <c r="K77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5">
        <v>2</v>
      </c>
    </row>
    <row r="776" spans="1:13" x14ac:dyDescent="0.3">
      <c r="A776" s="9">
        <v>46266</v>
      </c>
      <c r="B776" s="45" t="s">
        <v>187</v>
      </c>
      <c r="C776" s="10">
        <v>8000</v>
      </c>
      <c r="D776" t="s">
        <v>27</v>
      </c>
      <c r="E776" t="s">
        <v>95</v>
      </c>
      <c r="F776" t="s">
        <v>132</v>
      </c>
      <c r="G776"/>
      <c r="H776" s="11"/>
      <c r="I77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6">
        <v>2</v>
      </c>
      <c r="K77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6">
        <v>2</v>
      </c>
    </row>
    <row r="777" spans="1:13" x14ac:dyDescent="0.3">
      <c r="A777" s="9">
        <v>46266</v>
      </c>
      <c r="B777" s="45" t="s">
        <v>193</v>
      </c>
      <c r="C777" s="10">
        <v>5542</v>
      </c>
      <c r="D777" t="s">
        <v>118</v>
      </c>
      <c r="E777" t="s">
        <v>95</v>
      </c>
      <c r="F777" t="s">
        <v>137</v>
      </c>
      <c r="G777">
        <v>6</v>
      </c>
      <c r="H777" s="11">
        <v>3</v>
      </c>
      <c r="I77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7">
        <v>2</v>
      </c>
      <c r="K77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7">
        <v>2</v>
      </c>
      <c r="M777" t="s">
        <v>160</v>
      </c>
    </row>
    <row r="778" spans="1:13" x14ac:dyDescent="0.3">
      <c r="A778" s="9">
        <v>46266</v>
      </c>
      <c r="B778" s="45" t="s">
        <v>103</v>
      </c>
      <c r="C778" s="10">
        <v>4350</v>
      </c>
      <c r="D778" t="s">
        <v>27</v>
      </c>
      <c r="E778" t="s">
        <v>95</v>
      </c>
      <c r="F778" t="s">
        <v>132</v>
      </c>
      <c r="G778"/>
      <c r="H778" s="11"/>
      <c r="I77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8">
        <v>2</v>
      </c>
      <c r="K77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8">
        <v>2</v>
      </c>
    </row>
    <row r="779" spans="1:13" x14ac:dyDescent="0.3">
      <c r="A779" s="9">
        <v>46266</v>
      </c>
      <c r="B779" s="45" t="s">
        <v>104</v>
      </c>
      <c r="C779" s="10">
        <v>3680</v>
      </c>
      <c r="D779" t="s">
        <v>27</v>
      </c>
      <c r="E779" t="s">
        <v>95</v>
      </c>
      <c r="F779" t="s">
        <v>132</v>
      </c>
      <c r="G779"/>
      <c r="H779" s="11"/>
      <c r="I77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79">
        <v>2</v>
      </c>
      <c r="K77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79">
        <v>2</v>
      </c>
    </row>
    <row r="780" spans="1:13" x14ac:dyDescent="0.3">
      <c r="A780" s="9">
        <v>46266</v>
      </c>
      <c r="B780" s="45" t="s">
        <v>192</v>
      </c>
      <c r="C780" s="10">
        <v>3490</v>
      </c>
      <c r="D780" t="s">
        <v>27</v>
      </c>
      <c r="E780" t="s">
        <v>95</v>
      </c>
      <c r="F780" t="s">
        <v>132</v>
      </c>
      <c r="G780"/>
      <c r="H780" s="11"/>
      <c r="I78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0">
        <v>2</v>
      </c>
      <c r="K78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0">
        <v>2</v>
      </c>
      <c r="M780" t="s">
        <v>160</v>
      </c>
    </row>
    <row r="781" spans="1:13" x14ac:dyDescent="0.3">
      <c r="A781" s="9">
        <v>46266</v>
      </c>
      <c r="B781" s="45" t="s">
        <v>96</v>
      </c>
      <c r="C781" s="10">
        <v>2158</v>
      </c>
      <c r="D781" t="s">
        <v>27</v>
      </c>
      <c r="E781" t="s">
        <v>95</v>
      </c>
      <c r="F781" t="s">
        <v>132</v>
      </c>
      <c r="G781"/>
      <c r="H781" s="11"/>
      <c r="I7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1">
        <v>2</v>
      </c>
      <c r="K78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1">
        <v>2</v>
      </c>
    </row>
    <row r="782" spans="1:13" x14ac:dyDescent="0.3">
      <c r="A782" s="9">
        <v>46266</v>
      </c>
      <c r="B782" s="3" t="s">
        <v>173</v>
      </c>
      <c r="C782" s="10">
        <v>37000</v>
      </c>
      <c r="D782" t="s">
        <v>52</v>
      </c>
      <c r="E782" t="s">
        <v>95</v>
      </c>
      <c r="F782" t="s">
        <v>132</v>
      </c>
      <c r="G782"/>
      <c r="H782" s="11"/>
      <c r="I78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2">
        <v>2</v>
      </c>
      <c r="K78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2">
        <v>2</v>
      </c>
    </row>
    <row r="783" spans="1:13" x14ac:dyDescent="0.3">
      <c r="A783" s="9">
        <v>46266</v>
      </c>
      <c r="B783" s="45" t="s">
        <v>305</v>
      </c>
      <c r="C783" s="10">
        <v>175000</v>
      </c>
      <c r="D783" t="s">
        <v>19</v>
      </c>
      <c r="E783" t="s">
        <v>95</v>
      </c>
      <c r="F783" t="s">
        <v>132</v>
      </c>
      <c r="G783"/>
      <c r="H783" s="11"/>
      <c r="I783" s="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3">
        <v>2</v>
      </c>
      <c r="K783" s="81" t="str">
        <f>IF(Cuentas_personales[[#This Row],[Pagado]]=$M$2,O$2,IF(Cuentas_personales[[#This Row],[Pagado]]=$M$3,$O$3,IF(Cuentas_personales[[#This Row],[Pagado]]=$M$4,$O$4,IF(Cuentas_personales[[#This Row],[Pagado]]=$M$5,$O$5,"Nii"))))</f>
        <v>Pagado</v>
      </c>
      <c r="L783">
        <v>1</v>
      </c>
    </row>
    <row r="784" spans="1:13" x14ac:dyDescent="0.3">
      <c r="A784" s="9">
        <v>46266</v>
      </c>
      <c r="B784" s="45" t="s">
        <v>307</v>
      </c>
      <c r="C784" s="10">
        <v>50000</v>
      </c>
      <c r="D784" t="s">
        <v>19</v>
      </c>
      <c r="E784" t="s">
        <v>95</v>
      </c>
      <c r="F784" t="s">
        <v>132</v>
      </c>
      <c r="G784"/>
      <c r="H784" s="11"/>
      <c r="I784" s="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4">
        <v>2</v>
      </c>
      <c r="K784" s="8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4">
        <v>2</v>
      </c>
    </row>
    <row r="785" spans="1:13" x14ac:dyDescent="0.3">
      <c r="A785" s="9">
        <v>46266</v>
      </c>
      <c r="B785" s="45" t="s">
        <v>306</v>
      </c>
      <c r="C785" s="10">
        <v>175000</v>
      </c>
      <c r="D785" t="s">
        <v>19</v>
      </c>
      <c r="E785" t="s">
        <v>95</v>
      </c>
      <c r="F785" t="s">
        <v>132</v>
      </c>
      <c r="G785"/>
      <c r="H785" s="11"/>
      <c r="I785" s="8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5">
        <v>2</v>
      </c>
      <c r="K785" s="8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5">
        <v>2</v>
      </c>
    </row>
    <row r="786" spans="1:13" x14ac:dyDescent="0.3">
      <c r="A786" s="9">
        <v>46296</v>
      </c>
      <c r="B786" s="3" t="s">
        <v>34</v>
      </c>
      <c r="C786" s="10">
        <v>3360750</v>
      </c>
      <c r="D786" t="s">
        <v>35</v>
      </c>
      <c r="E786" t="s">
        <v>35</v>
      </c>
      <c r="F786" t="s">
        <v>135</v>
      </c>
      <c r="G786"/>
      <c r="H786" s="11"/>
      <c r="I786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786">
        <v>4</v>
      </c>
      <c r="K786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786">
        <v>4</v>
      </c>
    </row>
    <row r="787" spans="1:13" x14ac:dyDescent="0.3">
      <c r="A787" s="9">
        <v>46296</v>
      </c>
      <c r="B787" s="3" t="s">
        <v>86</v>
      </c>
      <c r="C787" s="10">
        <v>450000</v>
      </c>
      <c r="D787" t="s">
        <v>16</v>
      </c>
      <c r="E787" t="s">
        <v>95</v>
      </c>
      <c r="F787" t="s">
        <v>132</v>
      </c>
      <c r="G787"/>
      <c r="H787" s="11"/>
      <c r="I78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7">
        <v>2</v>
      </c>
      <c r="K78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7">
        <v>2</v>
      </c>
    </row>
    <row r="788" spans="1:13" x14ac:dyDescent="0.3">
      <c r="A788" s="9">
        <v>46296</v>
      </c>
      <c r="B788" s="3" t="s">
        <v>146</v>
      </c>
      <c r="C788" s="10">
        <v>431000</v>
      </c>
      <c r="D788" t="s">
        <v>146</v>
      </c>
      <c r="E788" t="s">
        <v>95</v>
      </c>
      <c r="F788" t="s">
        <v>137</v>
      </c>
      <c r="G788">
        <v>48</v>
      </c>
      <c r="H788" s="11">
        <v>7</v>
      </c>
      <c r="I78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8">
        <v>2</v>
      </c>
      <c r="K78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8">
        <v>2</v>
      </c>
      <c r="M788" t="s">
        <v>177</v>
      </c>
    </row>
    <row r="789" spans="1:13" x14ac:dyDescent="0.3">
      <c r="A789" s="9">
        <v>46296</v>
      </c>
      <c r="B789" s="3" t="s">
        <v>134</v>
      </c>
      <c r="C789" s="10">
        <v>320000</v>
      </c>
      <c r="D789" t="s">
        <v>52</v>
      </c>
      <c r="E789" t="s">
        <v>95</v>
      </c>
      <c r="F789" t="s">
        <v>132</v>
      </c>
      <c r="G789"/>
      <c r="H789" s="11"/>
      <c r="I78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89">
        <v>2</v>
      </c>
      <c r="K78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89">
        <v>2</v>
      </c>
    </row>
    <row r="790" spans="1:13" x14ac:dyDescent="0.3">
      <c r="A790" s="9">
        <v>46296</v>
      </c>
      <c r="B790" s="3" t="s">
        <v>141</v>
      </c>
      <c r="C790" s="10">
        <v>234786</v>
      </c>
      <c r="D790" t="s">
        <v>38</v>
      </c>
      <c r="E790" t="s">
        <v>95</v>
      </c>
      <c r="F790" t="s">
        <v>132</v>
      </c>
      <c r="G790"/>
      <c r="H790" s="11"/>
      <c r="I79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0">
        <v>2</v>
      </c>
      <c r="K79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0">
        <v>2</v>
      </c>
    </row>
    <row r="791" spans="1:13" x14ac:dyDescent="0.3">
      <c r="A791" s="9">
        <v>46296</v>
      </c>
      <c r="B791" s="3" t="s">
        <v>97</v>
      </c>
      <c r="C791" s="10">
        <v>216389</v>
      </c>
      <c r="D791" t="s">
        <v>97</v>
      </c>
      <c r="E791" t="s">
        <v>95</v>
      </c>
      <c r="F791" t="s">
        <v>132</v>
      </c>
      <c r="G791"/>
      <c r="H791" s="11"/>
      <c r="I79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1">
        <v>2</v>
      </c>
      <c r="K79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1">
        <v>2</v>
      </c>
    </row>
    <row r="792" spans="1:13" x14ac:dyDescent="0.3">
      <c r="A792" s="9">
        <v>46296</v>
      </c>
      <c r="B792" s="3" t="s">
        <v>133</v>
      </c>
      <c r="C792" s="10">
        <v>194350</v>
      </c>
      <c r="D792" t="s">
        <v>19</v>
      </c>
      <c r="E792" t="s">
        <v>95</v>
      </c>
      <c r="F792" t="s">
        <v>132</v>
      </c>
      <c r="G792"/>
      <c r="H792" s="11"/>
      <c r="I792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92">
        <v>1</v>
      </c>
      <c r="K79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2">
        <v>2</v>
      </c>
    </row>
    <row r="793" spans="1:13" x14ac:dyDescent="0.3">
      <c r="A793" s="9">
        <v>46296</v>
      </c>
      <c r="B793" s="3" t="s">
        <v>129</v>
      </c>
      <c r="C793" s="10">
        <v>150000</v>
      </c>
      <c r="D793" t="s">
        <v>52</v>
      </c>
      <c r="E793" t="s">
        <v>95</v>
      </c>
      <c r="F793" t="s">
        <v>132</v>
      </c>
      <c r="G793"/>
      <c r="H793" s="11"/>
      <c r="I79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3">
        <v>2</v>
      </c>
      <c r="K79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3">
        <v>2</v>
      </c>
    </row>
    <row r="794" spans="1:13" x14ac:dyDescent="0.3">
      <c r="A794" s="9">
        <v>46296</v>
      </c>
      <c r="B794" s="3" t="s">
        <v>18</v>
      </c>
      <c r="C794" s="10">
        <v>128800</v>
      </c>
      <c r="D794" t="s">
        <v>19</v>
      </c>
      <c r="E794" t="s">
        <v>95</v>
      </c>
      <c r="F794" t="s">
        <v>132</v>
      </c>
      <c r="G794"/>
      <c r="H794" s="11"/>
      <c r="I79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94">
        <v>1</v>
      </c>
      <c r="K79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4">
        <v>2</v>
      </c>
    </row>
    <row r="795" spans="1:13" x14ac:dyDescent="0.3">
      <c r="A795" s="9">
        <v>46296</v>
      </c>
      <c r="B795" s="3" t="s">
        <v>147</v>
      </c>
      <c r="C795" s="10">
        <v>112000</v>
      </c>
      <c r="D795" t="s">
        <v>146</v>
      </c>
      <c r="E795" t="s">
        <v>95</v>
      </c>
      <c r="F795" t="s">
        <v>132</v>
      </c>
      <c r="G795"/>
      <c r="H795" s="11"/>
      <c r="I79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5">
        <v>2</v>
      </c>
      <c r="K79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5">
        <v>2</v>
      </c>
    </row>
    <row r="796" spans="1:13" x14ac:dyDescent="0.3">
      <c r="A796" s="9">
        <v>46296</v>
      </c>
      <c r="B796" s="3" t="s">
        <v>148</v>
      </c>
      <c r="C796" s="10">
        <v>60067</v>
      </c>
      <c r="D796" t="s">
        <v>146</v>
      </c>
      <c r="E796" t="s">
        <v>95</v>
      </c>
      <c r="F796" t="s">
        <v>132</v>
      </c>
      <c r="G796"/>
      <c r="H796" s="11"/>
      <c r="I79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6">
        <v>2</v>
      </c>
      <c r="K79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6">
        <v>2</v>
      </c>
    </row>
    <row r="797" spans="1:13" x14ac:dyDescent="0.3">
      <c r="A797" s="9">
        <v>46296</v>
      </c>
      <c r="B797" s="3" t="s">
        <v>37</v>
      </c>
      <c r="C797" s="10">
        <v>44000</v>
      </c>
      <c r="D797" t="s">
        <v>38</v>
      </c>
      <c r="E797" t="s">
        <v>95</v>
      </c>
      <c r="F797" t="s">
        <v>132</v>
      </c>
      <c r="G797"/>
      <c r="H797" s="11"/>
      <c r="I79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97">
        <v>1</v>
      </c>
      <c r="K79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7">
        <v>2</v>
      </c>
    </row>
    <row r="798" spans="1:13" x14ac:dyDescent="0.3">
      <c r="A798" s="9">
        <v>46296</v>
      </c>
      <c r="B798" s="3" t="s">
        <v>158</v>
      </c>
      <c r="C798" s="10">
        <v>40000</v>
      </c>
      <c r="D798" t="s">
        <v>16</v>
      </c>
      <c r="E798" t="s">
        <v>95</v>
      </c>
      <c r="F798" t="s">
        <v>132</v>
      </c>
      <c r="G798"/>
      <c r="H798" s="11"/>
      <c r="I79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798">
        <v>2</v>
      </c>
      <c r="K79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8">
        <v>2</v>
      </c>
    </row>
    <row r="799" spans="1:13" x14ac:dyDescent="0.3">
      <c r="A799" s="9">
        <v>46296</v>
      </c>
      <c r="B799" s="3" t="s">
        <v>128</v>
      </c>
      <c r="C799" s="10">
        <v>38000</v>
      </c>
      <c r="D799" t="s">
        <v>16</v>
      </c>
      <c r="E799" t="s">
        <v>95</v>
      </c>
      <c r="F799" t="s">
        <v>132</v>
      </c>
      <c r="G799"/>
      <c r="H799" s="11"/>
      <c r="I79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799">
        <v>1</v>
      </c>
      <c r="K79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799">
        <v>2</v>
      </c>
    </row>
    <row r="800" spans="1:13" x14ac:dyDescent="0.3">
      <c r="A800" s="9">
        <v>46296</v>
      </c>
      <c r="B800" s="3" t="s">
        <v>156</v>
      </c>
      <c r="C800" s="10">
        <v>35000</v>
      </c>
      <c r="D800" t="s">
        <v>194</v>
      </c>
      <c r="E800" t="s">
        <v>95</v>
      </c>
      <c r="F800" t="s">
        <v>137</v>
      </c>
      <c r="G800">
        <v>6</v>
      </c>
      <c r="H800" s="11">
        <v>3</v>
      </c>
      <c r="I80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00">
        <v>1</v>
      </c>
      <c r="K80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0">
        <v>2</v>
      </c>
      <c r="M800" t="s">
        <v>177</v>
      </c>
    </row>
    <row r="801" spans="1:13" x14ac:dyDescent="0.3">
      <c r="A801" s="9">
        <v>46296</v>
      </c>
      <c r="B801" s="3" t="s">
        <v>190</v>
      </c>
      <c r="C801" s="10">
        <v>28279</v>
      </c>
      <c r="D801" t="s">
        <v>118</v>
      </c>
      <c r="E801" t="s">
        <v>95</v>
      </c>
      <c r="F801" t="s">
        <v>137</v>
      </c>
      <c r="G801">
        <v>3</v>
      </c>
      <c r="H801" s="11">
        <v>12</v>
      </c>
      <c r="I80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1">
        <v>2</v>
      </c>
      <c r="K80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1">
        <v>2</v>
      </c>
      <c r="M801" t="s">
        <v>160</v>
      </c>
    </row>
    <row r="802" spans="1:13" x14ac:dyDescent="0.3">
      <c r="A802" s="9">
        <v>46296</v>
      </c>
      <c r="B802" s="3" t="s">
        <v>102</v>
      </c>
      <c r="C802" s="10">
        <v>18450</v>
      </c>
      <c r="D802" t="s">
        <v>27</v>
      </c>
      <c r="E802" t="s">
        <v>95</v>
      </c>
      <c r="F802" t="s">
        <v>132</v>
      </c>
      <c r="G802"/>
      <c r="H802" s="11"/>
      <c r="I80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2">
        <v>2</v>
      </c>
      <c r="K80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2">
        <v>2</v>
      </c>
    </row>
    <row r="803" spans="1:13" x14ac:dyDescent="0.3">
      <c r="A803" s="9">
        <v>46296</v>
      </c>
      <c r="B803" s="3" t="s">
        <v>100</v>
      </c>
      <c r="C803" s="10">
        <v>16809</v>
      </c>
      <c r="D803" t="s">
        <v>23</v>
      </c>
      <c r="E803" t="s">
        <v>95</v>
      </c>
      <c r="F803" t="s">
        <v>132</v>
      </c>
      <c r="G803"/>
      <c r="H803" s="11"/>
      <c r="I803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03">
        <v>1</v>
      </c>
      <c r="K80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3">
        <v>2</v>
      </c>
    </row>
    <row r="804" spans="1:13" x14ac:dyDescent="0.3">
      <c r="A804" s="9">
        <v>46296</v>
      </c>
      <c r="B804" s="3" t="s">
        <v>98</v>
      </c>
      <c r="C804" s="10">
        <v>10000</v>
      </c>
      <c r="D804" t="s">
        <v>23</v>
      </c>
      <c r="E804" t="s">
        <v>95</v>
      </c>
      <c r="F804" t="s">
        <v>132</v>
      </c>
      <c r="G804"/>
      <c r="H804" s="11"/>
      <c r="I80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04">
        <v>1</v>
      </c>
      <c r="K80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4">
        <v>2</v>
      </c>
    </row>
    <row r="805" spans="1:13" x14ac:dyDescent="0.3">
      <c r="A805" s="9">
        <v>46296</v>
      </c>
      <c r="B805" s="3" t="s">
        <v>143</v>
      </c>
      <c r="C805" s="10">
        <v>9765</v>
      </c>
      <c r="D805" t="s">
        <v>27</v>
      </c>
      <c r="E805" t="s">
        <v>95</v>
      </c>
      <c r="F805" t="s">
        <v>132</v>
      </c>
      <c r="G805"/>
      <c r="H805" s="11"/>
      <c r="I80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5">
        <v>2</v>
      </c>
      <c r="K80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5">
        <v>2</v>
      </c>
    </row>
    <row r="806" spans="1:13" x14ac:dyDescent="0.3">
      <c r="A806" s="9">
        <v>46296</v>
      </c>
      <c r="B806" s="3" t="s">
        <v>187</v>
      </c>
      <c r="C806" s="10">
        <v>8000</v>
      </c>
      <c r="D806" t="s">
        <v>27</v>
      </c>
      <c r="E806" t="s">
        <v>95</v>
      </c>
      <c r="F806" t="s">
        <v>132</v>
      </c>
      <c r="G806"/>
      <c r="H806" s="11"/>
      <c r="I80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6">
        <v>2</v>
      </c>
      <c r="K80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6">
        <v>2</v>
      </c>
    </row>
    <row r="807" spans="1:13" x14ac:dyDescent="0.3">
      <c r="A807" s="9">
        <v>46296</v>
      </c>
      <c r="B807" s="3" t="s">
        <v>193</v>
      </c>
      <c r="C807" s="10">
        <v>5542</v>
      </c>
      <c r="D807" t="s">
        <v>118</v>
      </c>
      <c r="E807" t="s">
        <v>95</v>
      </c>
      <c r="F807" t="s">
        <v>137</v>
      </c>
      <c r="G807">
        <v>6</v>
      </c>
      <c r="H807" s="11">
        <v>4</v>
      </c>
      <c r="I80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7">
        <v>2</v>
      </c>
      <c r="K80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7">
        <v>2</v>
      </c>
      <c r="M807" t="s">
        <v>160</v>
      </c>
    </row>
    <row r="808" spans="1:13" x14ac:dyDescent="0.3">
      <c r="A808" s="9">
        <v>46296</v>
      </c>
      <c r="B808" s="3" t="s">
        <v>103</v>
      </c>
      <c r="C808" s="10">
        <v>4350</v>
      </c>
      <c r="D808" t="s">
        <v>27</v>
      </c>
      <c r="E808" t="s">
        <v>95</v>
      </c>
      <c r="F808" t="s">
        <v>132</v>
      </c>
      <c r="G808"/>
      <c r="H808" s="11"/>
      <c r="I80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8">
        <v>2</v>
      </c>
      <c r="K80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8">
        <v>2</v>
      </c>
    </row>
    <row r="809" spans="1:13" x14ac:dyDescent="0.3">
      <c r="A809" s="9">
        <v>46296</v>
      </c>
      <c r="B809" s="3" t="s">
        <v>104</v>
      </c>
      <c r="C809" s="10">
        <v>3680</v>
      </c>
      <c r="D809" t="s">
        <v>27</v>
      </c>
      <c r="E809" t="s">
        <v>95</v>
      </c>
      <c r="F809" t="s">
        <v>132</v>
      </c>
      <c r="G809"/>
      <c r="H809" s="11"/>
      <c r="I80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09">
        <v>2</v>
      </c>
      <c r="K80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09">
        <v>2</v>
      </c>
    </row>
    <row r="810" spans="1:13" x14ac:dyDescent="0.3">
      <c r="A810" s="9">
        <v>46296</v>
      </c>
      <c r="B810" s="3" t="s">
        <v>192</v>
      </c>
      <c r="C810" s="10">
        <v>3490</v>
      </c>
      <c r="D810" t="s">
        <v>27</v>
      </c>
      <c r="E810" t="s">
        <v>95</v>
      </c>
      <c r="F810" t="s">
        <v>132</v>
      </c>
      <c r="G810"/>
      <c r="H810" s="11"/>
      <c r="I81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0">
        <v>2</v>
      </c>
      <c r="K81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0">
        <v>2</v>
      </c>
      <c r="M810" t="s">
        <v>160</v>
      </c>
    </row>
    <row r="811" spans="1:13" x14ac:dyDescent="0.3">
      <c r="A811" s="9">
        <v>46296</v>
      </c>
      <c r="B811" s="3" t="s">
        <v>96</v>
      </c>
      <c r="C811" s="10">
        <v>2158</v>
      </c>
      <c r="D811" t="s">
        <v>27</v>
      </c>
      <c r="E811" t="s">
        <v>95</v>
      </c>
      <c r="F811" t="s">
        <v>132</v>
      </c>
      <c r="G811"/>
      <c r="H811" s="11"/>
      <c r="I811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1">
        <v>2</v>
      </c>
      <c r="K81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1">
        <v>2</v>
      </c>
    </row>
    <row r="812" spans="1:13" x14ac:dyDescent="0.3">
      <c r="A812" s="9">
        <v>46296</v>
      </c>
      <c r="B812" s="3" t="s">
        <v>185</v>
      </c>
      <c r="C812" s="10">
        <v>0</v>
      </c>
      <c r="D812" t="s">
        <v>52</v>
      </c>
      <c r="E812" t="s">
        <v>95</v>
      </c>
      <c r="F812" t="s">
        <v>132</v>
      </c>
      <c r="G812"/>
      <c r="H812" s="11"/>
      <c r="I81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2">
        <v>2</v>
      </c>
      <c r="K81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2">
        <v>2</v>
      </c>
    </row>
    <row r="813" spans="1:13" hidden="1" x14ac:dyDescent="0.3">
      <c r="A813" s="9">
        <v>46327</v>
      </c>
      <c r="B813" s="3" t="s">
        <v>34</v>
      </c>
      <c r="C813" s="10">
        <v>3360750</v>
      </c>
      <c r="D813" t="s">
        <v>35</v>
      </c>
      <c r="E813" t="s">
        <v>35</v>
      </c>
      <c r="F813" t="s">
        <v>135</v>
      </c>
      <c r="G813"/>
      <c r="H813" s="11"/>
      <c r="I813" t="str">
        <f>IF(Cuentas_personales[[#This Row],[Fijo]]=$M$2,N$2,IF(Cuentas_personales[[#This Row],[Fijo]]=$M$3,$N$3,IF(Cuentas_personales[[#This Row],[Fijo]]=$M$4,$N$4,IF(Cuentas_personales[[#This Row],[Fijo]]=$M$5,$N$5,"Nii"))))</f>
        <v>Cobro Mensual</v>
      </c>
      <c r="J813">
        <v>4</v>
      </c>
      <c r="K813" t="str">
        <f>IF(Cuentas_personales[[#This Row],[Pagado]]=$M$2,O$2,IF(Cuentas_personales[[#This Row],[Pagado]]=$M$3,$O$3,IF(Cuentas_personales[[#This Row],[Pagado]]=$M$4,$O$4,IF(Cuentas_personales[[#This Row],[Pagado]]=$M$5,$O$5,"Nii"))))</f>
        <v>Cobro Mensual</v>
      </c>
      <c r="L813">
        <v>4</v>
      </c>
    </row>
    <row r="814" spans="1:13" hidden="1" x14ac:dyDescent="0.3">
      <c r="A814" s="9">
        <v>46327</v>
      </c>
      <c r="B814" s="3" t="s">
        <v>86</v>
      </c>
      <c r="C814" s="10">
        <v>450000</v>
      </c>
      <c r="D814" t="s">
        <v>16</v>
      </c>
      <c r="E814" t="s">
        <v>95</v>
      </c>
      <c r="F814" t="s">
        <v>132</v>
      </c>
      <c r="G814"/>
      <c r="H814" s="11"/>
      <c r="I81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4">
        <v>2</v>
      </c>
      <c r="K81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4">
        <v>2</v>
      </c>
    </row>
    <row r="815" spans="1:13" hidden="1" x14ac:dyDescent="0.3">
      <c r="A815" s="9">
        <v>46327</v>
      </c>
      <c r="B815" s="3" t="s">
        <v>146</v>
      </c>
      <c r="C815" s="10">
        <v>431000</v>
      </c>
      <c r="D815" t="s">
        <v>146</v>
      </c>
      <c r="E815" t="s">
        <v>95</v>
      </c>
      <c r="F815" t="s">
        <v>137</v>
      </c>
      <c r="G815">
        <v>48</v>
      </c>
      <c r="H815" s="11">
        <v>15</v>
      </c>
      <c r="I81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5">
        <v>2</v>
      </c>
      <c r="K81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5">
        <v>2</v>
      </c>
      <c r="M815" t="s">
        <v>177</v>
      </c>
    </row>
    <row r="816" spans="1:13" hidden="1" x14ac:dyDescent="0.3">
      <c r="A816" s="9">
        <v>46327</v>
      </c>
      <c r="B816" s="3" t="s">
        <v>134</v>
      </c>
      <c r="C816" s="10">
        <v>320000</v>
      </c>
      <c r="D816" t="s">
        <v>52</v>
      </c>
      <c r="E816" t="s">
        <v>95</v>
      </c>
      <c r="F816" t="s">
        <v>132</v>
      </c>
      <c r="G816"/>
      <c r="H816" s="11"/>
      <c r="I81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6">
        <v>2</v>
      </c>
      <c r="K81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6">
        <v>2</v>
      </c>
    </row>
    <row r="817" spans="1:13" hidden="1" x14ac:dyDescent="0.3">
      <c r="A817" s="9">
        <v>46327</v>
      </c>
      <c r="B817" s="3" t="s">
        <v>141</v>
      </c>
      <c r="C817" s="10">
        <v>234786</v>
      </c>
      <c r="D817" t="s">
        <v>38</v>
      </c>
      <c r="E817" t="s">
        <v>95</v>
      </c>
      <c r="F817" t="s">
        <v>132</v>
      </c>
      <c r="G817"/>
      <c r="H817" s="11"/>
      <c r="I81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7">
        <v>2</v>
      </c>
      <c r="K81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7">
        <v>2</v>
      </c>
    </row>
    <row r="818" spans="1:13" hidden="1" x14ac:dyDescent="0.3">
      <c r="A818" s="9">
        <v>46327</v>
      </c>
      <c r="B818" s="3" t="s">
        <v>97</v>
      </c>
      <c r="C818" s="10">
        <v>216389</v>
      </c>
      <c r="D818" t="s">
        <v>97</v>
      </c>
      <c r="E818" t="s">
        <v>95</v>
      </c>
      <c r="F818" t="s">
        <v>132</v>
      </c>
      <c r="G818"/>
      <c r="H818" s="11"/>
      <c r="I81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18">
        <v>2</v>
      </c>
      <c r="K81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8">
        <v>2</v>
      </c>
    </row>
    <row r="819" spans="1:13" hidden="1" x14ac:dyDescent="0.3">
      <c r="A819" s="9">
        <v>46327</v>
      </c>
      <c r="B819" s="3" t="s">
        <v>133</v>
      </c>
      <c r="C819" s="10">
        <v>490000</v>
      </c>
      <c r="D819" t="s">
        <v>19</v>
      </c>
      <c r="E819" t="s">
        <v>95</v>
      </c>
      <c r="F819" t="s">
        <v>132</v>
      </c>
      <c r="G819"/>
      <c r="H819" s="11"/>
      <c r="I819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19">
        <v>1</v>
      </c>
      <c r="K81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19">
        <v>2</v>
      </c>
    </row>
    <row r="820" spans="1:13" hidden="1" x14ac:dyDescent="0.3">
      <c r="A820" s="9">
        <v>46327</v>
      </c>
      <c r="B820" s="3" t="s">
        <v>129</v>
      </c>
      <c r="C820" s="10">
        <v>150000</v>
      </c>
      <c r="D820" t="s">
        <v>52</v>
      </c>
      <c r="E820" t="s">
        <v>95</v>
      </c>
      <c r="F820" t="s">
        <v>132</v>
      </c>
      <c r="G820"/>
      <c r="H820" s="11"/>
      <c r="I820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0">
        <v>2</v>
      </c>
      <c r="K82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0">
        <v>2</v>
      </c>
    </row>
    <row r="821" spans="1:13" hidden="1" x14ac:dyDescent="0.3">
      <c r="A821" s="9">
        <v>46327</v>
      </c>
      <c r="B821" s="3" t="s">
        <v>18</v>
      </c>
      <c r="C821" s="10">
        <v>57000</v>
      </c>
      <c r="D821" t="s">
        <v>19</v>
      </c>
      <c r="E821" t="s">
        <v>95</v>
      </c>
      <c r="F821" t="s">
        <v>132</v>
      </c>
      <c r="G821"/>
      <c r="H821" s="11"/>
      <c r="I82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21">
        <v>1</v>
      </c>
      <c r="K82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1">
        <v>2</v>
      </c>
    </row>
    <row r="822" spans="1:13" hidden="1" x14ac:dyDescent="0.3">
      <c r="A822" s="9">
        <v>46327</v>
      </c>
      <c r="B822" s="3" t="s">
        <v>147</v>
      </c>
      <c r="C822" s="10"/>
      <c r="D822" t="s">
        <v>146</v>
      </c>
      <c r="E822" t="s">
        <v>95</v>
      </c>
      <c r="F822" t="s">
        <v>132</v>
      </c>
      <c r="G822"/>
      <c r="H822" s="11"/>
      <c r="I82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2">
        <v>2</v>
      </c>
      <c r="K82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2">
        <v>2</v>
      </c>
    </row>
    <row r="823" spans="1:13" hidden="1" x14ac:dyDescent="0.3">
      <c r="A823" s="9">
        <v>46327</v>
      </c>
      <c r="B823" s="3" t="s">
        <v>148</v>
      </c>
      <c r="C823" s="10">
        <v>60067</v>
      </c>
      <c r="D823" t="s">
        <v>146</v>
      </c>
      <c r="E823" t="s">
        <v>95</v>
      </c>
      <c r="F823" t="s">
        <v>132</v>
      </c>
      <c r="G823"/>
      <c r="H823" s="11"/>
      <c r="I82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3">
        <v>2</v>
      </c>
      <c r="K82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3">
        <v>2</v>
      </c>
    </row>
    <row r="824" spans="1:13" hidden="1" x14ac:dyDescent="0.3">
      <c r="A824" s="9">
        <v>46327</v>
      </c>
      <c r="B824" s="3" t="s">
        <v>37</v>
      </c>
      <c r="C824" s="10">
        <v>44000</v>
      </c>
      <c r="D824" t="s">
        <v>38</v>
      </c>
      <c r="E824" t="s">
        <v>95</v>
      </c>
      <c r="F824" t="s">
        <v>132</v>
      </c>
      <c r="G824"/>
      <c r="H824" s="11"/>
      <c r="I824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24">
        <v>1</v>
      </c>
      <c r="K82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4">
        <v>2</v>
      </c>
    </row>
    <row r="825" spans="1:13" hidden="1" x14ac:dyDescent="0.3">
      <c r="A825" s="9">
        <v>46327</v>
      </c>
      <c r="B825" s="3" t="s">
        <v>158</v>
      </c>
      <c r="C825" s="10">
        <v>40000</v>
      </c>
      <c r="D825" t="s">
        <v>16</v>
      </c>
      <c r="E825" t="s">
        <v>95</v>
      </c>
      <c r="F825" t="s">
        <v>132</v>
      </c>
      <c r="G825"/>
      <c r="H825" s="11"/>
      <c r="I82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5">
        <v>2</v>
      </c>
      <c r="K82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5">
        <v>2</v>
      </c>
    </row>
    <row r="826" spans="1:13" hidden="1" x14ac:dyDescent="0.3">
      <c r="A826" s="9">
        <v>46327</v>
      </c>
      <c r="B826" s="3" t="s">
        <v>128</v>
      </c>
      <c r="C826" s="10">
        <v>38000</v>
      </c>
      <c r="D826" t="s">
        <v>16</v>
      </c>
      <c r="E826" t="s">
        <v>95</v>
      </c>
      <c r="F826" t="s">
        <v>132</v>
      </c>
      <c r="G826"/>
      <c r="H826" s="11"/>
      <c r="I826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26">
        <v>1</v>
      </c>
      <c r="K82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6">
        <v>2</v>
      </c>
    </row>
    <row r="827" spans="1:13" hidden="1" x14ac:dyDescent="0.3">
      <c r="A827" s="9">
        <v>46327</v>
      </c>
      <c r="B827" s="3" t="s">
        <v>156</v>
      </c>
      <c r="C827" s="10">
        <v>35000</v>
      </c>
      <c r="D827" t="s">
        <v>194</v>
      </c>
      <c r="E827" t="s">
        <v>95</v>
      </c>
      <c r="F827" t="s">
        <v>137</v>
      </c>
      <c r="G827">
        <v>6</v>
      </c>
      <c r="H827" s="11">
        <v>4</v>
      </c>
      <c r="I827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27">
        <v>1</v>
      </c>
      <c r="K82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7">
        <v>2</v>
      </c>
      <c r="M827" t="s">
        <v>177</v>
      </c>
    </row>
    <row r="828" spans="1:13" hidden="1" x14ac:dyDescent="0.3">
      <c r="A828" s="9">
        <v>46327</v>
      </c>
      <c r="B828" s="3" t="s">
        <v>190</v>
      </c>
      <c r="C828" s="10">
        <v>28279</v>
      </c>
      <c r="D828" t="s">
        <v>118</v>
      </c>
      <c r="E828" t="s">
        <v>95</v>
      </c>
      <c r="F828" t="s">
        <v>137</v>
      </c>
      <c r="G828">
        <v>12</v>
      </c>
      <c r="H828" s="11">
        <v>4</v>
      </c>
      <c r="I82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8">
        <v>2</v>
      </c>
      <c r="K82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8">
        <v>2</v>
      </c>
      <c r="M828" t="s">
        <v>160</v>
      </c>
    </row>
    <row r="829" spans="1:13" hidden="1" x14ac:dyDescent="0.3">
      <c r="A829" s="9">
        <v>46327</v>
      </c>
      <c r="B829" s="3" t="s">
        <v>102</v>
      </c>
      <c r="C829" s="10">
        <v>18450</v>
      </c>
      <c r="D829" t="s">
        <v>27</v>
      </c>
      <c r="E829" t="s">
        <v>95</v>
      </c>
      <c r="F829" t="s">
        <v>132</v>
      </c>
      <c r="G829"/>
      <c r="H829" s="11"/>
      <c r="I82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29">
        <v>2</v>
      </c>
      <c r="K82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29">
        <v>2</v>
      </c>
    </row>
    <row r="830" spans="1:13" hidden="1" x14ac:dyDescent="0.3">
      <c r="A830" s="9">
        <v>46327</v>
      </c>
      <c r="B830" s="3" t="s">
        <v>100</v>
      </c>
      <c r="C830" s="10">
        <v>16809</v>
      </c>
      <c r="D830" t="s">
        <v>23</v>
      </c>
      <c r="E830" t="s">
        <v>95</v>
      </c>
      <c r="F830" t="s">
        <v>132</v>
      </c>
      <c r="G830"/>
      <c r="H830" s="11"/>
      <c r="I830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30">
        <v>1</v>
      </c>
      <c r="K830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0">
        <v>2</v>
      </c>
    </row>
    <row r="831" spans="1:13" hidden="1" x14ac:dyDescent="0.3">
      <c r="A831" s="9">
        <v>46327</v>
      </c>
      <c r="B831" s="3" t="s">
        <v>98</v>
      </c>
      <c r="C831" s="10">
        <v>10000</v>
      </c>
      <c r="D831" t="s">
        <v>23</v>
      </c>
      <c r="E831" t="s">
        <v>95</v>
      </c>
      <c r="F831" t="s">
        <v>132</v>
      </c>
      <c r="G831"/>
      <c r="H831" s="11"/>
      <c r="I831" t="str">
        <f>IF(Cuentas_personales[[#This Row],[Fijo]]=$M$2,N$2,IF(Cuentas_personales[[#This Row],[Fijo]]=$M$3,$N$3,IF(Cuentas_personales[[#This Row],[Fijo]]=$M$4,$N$4,IF(Cuentas_personales[[#This Row],[Fijo]]=$M$5,$N$5,"Nii"))))</f>
        <v>Gastos del mes pagar Papi</v>
      </c>
      <c r="J831">
        <v>1</v>
      </c>
      <c r="K831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1">
        <v>2</v>
      </c>
    </row>
    <row r="832" spans="1:13" hidden="1" x14ac:dyDescent="0.3">
      <c r="A832" s="9">
        <v>46327</v>
      </c>
      <c r="B832" s="3" t="s">
        <v>143</v>
      </c>
      <c r="C832" s="10">
        <v>9765</v>
      </c>
      <c r="D832" t="s">
        <v>27</v>
      </c>
      <c r="E832" t="s">
        <v>95</v>
      </c>
      <c r="F832" t="s">
        <v>132</v>
      </c>
      <c r="G832"/>
      <c r="H832" s="11"/>
      <c r="I832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2">
        <v>2</v>
      </c>
      <c r="K832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2">
        <v>2</v>
      </c>
    </row>
    <row r="833" spans="1:13" hidden="1" x14ac:dyDescent="0.3">
      <c r="A833" s="9">
        <v>46327</v>
      </c>
      <c r="B833" s="3" t="s">
        <v>187</v>
      </c>
      <c r="C833" s="10">
        <v>8000</v>
      </c>
      <c r="D833" t="s">
        <v>27</v>
      </c>
      <c r="E833" t="s">
        <v>95</v>
      </c>
      <c r="F833" t="s">
        <v>132</v>
      </c>
      <c r="G833"/>
      <c r="H833" s="11"/>
      <c r="I833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3">
        <v>2</v>
      </c>
      <c r="K833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3">
        <v>2</v>
      </c>
    </row>
    <row r="834" spans="1:13" hidden="1" x14ac:dyDescent="0.3">
      <c r="A834" s="9">
        <v>46327</v>
      </c>
      <c r="B834" s="3" t="s">
        <v>193</v>
      </c>
      <c r="C834" s="10">
        <v>5542</v>
      </c>
      <c r="D834" t="s">
        <v>118</v>
      </c>
      <c r="E834" t="s">
        <v>95</v>
      </c>
      <c r="F834" t="s">
        <v>137</v>
      </c>
      <c r="G834">
        <v>6</v>
      </c>
      <c r="H834" s="11">
        <v>5</v>
      </c>
      <c r="I834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4">
        <v>2</v>
      </c>
      <c r="K834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4">
        <v>2</v>
      </c>
      <c r="M834" t="s">
        <v>160</v>
      </c>
    </row>
    <row r="835" spans="1:13" hidden="1" x14ac:dyDescent="0.3">
      <c r="A835" s="9">
        <v>46327</v>
      </c>
      <c r="B835" s="3" t="s">
        <v>103</v>
      </c>
      <c r="C835" s="10">
        <v>4350</v>
      </c>
      <c r="D835" t="s">
        <v>27</v>
      </c>
      <c r="E835" t="s">
        <v>95</v>
      </c>
      <c r="F835" t="s">
        <v>132</v>
      </c>
      <c r="G835"/>
      <c r="H835" s="11"/>
      <c r="I835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5">
        <v>2</v>
      </c>
      <c r="K835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5">
        <v>2</v>
      </c>
    </row>
    <row r="836" spans="1:13" hidden="1" x14ac:dyDescent="0.3">
      <c r="A836" s="9">
        <v>46327</v>
      </c>
      <c r="B836" s="3" t="s">
        <v>104</v>
      </c>
      <c r="C836" s="10">
        <v>3680</v>
      </c>
      <c r="D836" t="s">
        <v>27</v>
      </c>
      <c r="E836" t="s">
        <v>95</v>
      </c>
      <c r="F836" t="s">
        <v>132</v>
      </c>
      <c r="G836"/>
      <c r="H836" s="11"/>
      <c r="I836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6">
        <v>2</v>
      </c>
      <c r="K836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6">
        <v>2</v>
      </c>
    </row>
    <row r="837" spans="1:13" hidden="1" x14ac:dyDescent="0.3">
      <c r="A837" s="9">
        <v>46327</v>
      </c>
      <c r="B837" s="3" t="s">
        <v>192</v>
      </c>
      <c r="C837" s="10">
        <v>3490</v>
      </c>
      <c r="D837" t="s">
        <v>27</v>
      </c>
      <c r="E837" t="s">
        <v>95</v>
      </c>
      <c r="F837" t="s">
        <v>132</v>
      </c>
      <c r="G837"/>
      <c r="H837" s="11"/>
      <c r="I837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7">
        <v>2</v>
      </c>
      <c r="K837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7">
        <v>2</v>
      </c>
      <c r="M837" t="s">
        <v>160</v>
      </c>
    </row>
    <row r="838" spans="1:13" hidden="1" x14ac:dyDescent="0.3">
      <c r="A838" s="9">
        <v>46327</v>
      </c>
      <c r="B838" s="3" t="s">
        <v>96</v>
      </c>
      <c r="C838" s="10">
        <v>2158</v>
      </c>
      <c r="D838" t="s">
        <v>27</v>
      </c>
      <c r="E838" t="s">
        <v>95</v>
      </c>
      <c r="F838" t="s">
        <v>132</v>
      </c>
      <c r="G838"/>
      <c r="H838" s="11"/>
      <c r="I838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8">
        <v>2</v>
      </c>
      <c r="K838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8">
        <v>2</v>
      </c>
    </row>
    <row r="839" spans="1:13" hidden="1" x14ac:dyDescent="0.3">
      <c r="A839" s="9">
        <v>46327</v>
      </c>
      <c r="B839" s="3" t="s">
        <v>185</v>
      </c>
      <c r="C839" s="10">
        <v>0</v>
      </c>
      <c r="D839" t="s">
        <v>52</v>
      </c>
      <c r="E839" t="s">
        <v>95</v>
      </c>
      <c r="F839" t="s">
        <v>132</v>
      </c>
      <c r="G839"/>
      <c r="H839" s="11"/>
      <c r="I839" t="str">
        <f>IF(Cuentas_personales[[#This Row],[Fijo]]=$M$2,N$2,IF(Cuentas_personales[[#This Row],[Fijo]]=$M$3,$N$3,IF(Cuentas_personales[[#This Row],[Fijo]]=$M$4,$N$4,IF(Cuentas_personales[[#This Row],[Fijo]]=$M$5,$N$5,"Nii"))))</f>
        <v>Gastos del mes debitables</v>
      </c>
      <c r="J839">
        <v>2</v>
      </c>
      <c r="K839" t="str">
        <f>IF(Cuentas_personales[[#This Row],[Pagado]]=$M$2,O$2,IF(Cuentas_personales[[#This Row],[Pagado]]=$M$3,$O$3,IF(Cuentas_personales[[#This Row],[Pagado]]=$M$4,$O$4,IF(Cuentas_personales[[#This Row],[Pagado]]=$M$5,$O$5,"Nii"))))</f>
        <v>A pagar</v>
      </c>
      <c r="L839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"/>
  <sheetViews>
    <sheetView topLeftCell="N1" zoomScaleNormal="100" workbookViewId="0">
      <selection activeCell="Q12" sqref="Q12"/>
    </sheetView>
  </sheetViews>
  <sheetFormatPr baseColWidth="10" defaultColWidth="11.44140625" defaultRowHeight="14.4" x14ac:dyDescent="0.3"/>
  <cols>
    <col min="3" max="3" width="14.88671875" bestFit="1" customWidth="1"/>
    <col min="4" max="4" width="19.6640625" bestFit="1" customWidth="1"/>
    <col min="5" max="5" width="13" bestFit="1" customWidth="1"/>
    <col min="7" max="7" width="13.109375" bestFit="1" customWidth="1"/>
    <col min="8" max="8" width="12.6640625" customWidth="1"/>
    <col min="9" max="9" width="13.109375" bestFit="1" customWidth="1"/>
    <col min="10" max="14" width="12.6640625" customWidth="1"/>
  </cols>
  <sheetData>
    <row r="1" spans="1:21" ht="15" thickBot="1" x14ac:dyDescent="0.35">
      <c r="G1" s="82" t="s">
        <v>195</v>
      </c>
      <c r="H1" s="83"/>
      <c r="I1" s="83"/>
      <c r="J1" s="83"/>
      <c r="K1" s="83"/>
      <c r="L1" s="83"/>
      <c r="M1" s="83"/>
      <c r="N1" s="83"/>
    </row>
    <row r="2" spans="1:21" x14ac:dyDescent="0.3">
      <c r="A2" t="s">
        <v>196</v>
      </c>
      <c r="B2" t="s">
        <v>1</v>
      </c>
      <c r="C2" t="s">
        <v>197</v>
      </c>
      <c r="D2" t="s">
        <v>198</v>
      </c>
      <c r="E2" t="s">
        <v>199</v>
      </c>
      <c r="G2" s="84" t="s">
        <v>200</v>
      </c>
      <c r="H2" s="85"/>
      <c r="I2" s="85"/>
      <c r="J2" s="85"/>
      <c r="K2" s="85"/>
      <c r="L2" s="85"/>
      <c r="M2" s="85"/>
      <c r="N2" s="86"/>
    </row>
    <row r="3" spans="1:21" x14ac:dyDescent="0.3">
      <c r="A3" s="66">
        <v>45778</v>
      </c>
      <c r="B3" s="67" t="s">
        <v>34</v>
      </c>
      <c r="C3" s="67" t="str">
        <f>TEXT(Tabla4[[#This Row],[Mes]],"mm/yyyy")&amp;"|"&amp;Tabla4[[#This Row],[Item]]</f>
        <v>05/2025|Trabajo</v>
      </c>
      <c r="D3" s="68">
        <v>1134750</v>
      </c>
      <c r="E3" s="69">
        <v>1134750</v>
      </c>
      <c r="G3" s="47" t="s">
        <v>201</v>
      </c>
      <c r="H3" s="48" t="s">
        <v>202</v>
      </c>
      <c r="I3" s="48" t="s">
        <v>203</v>
      </c>
      <c r="J3" s="48" t="s">
        <v>204</v>
      </c>
      <c r="K3" s="48" t="s">
        <v>205</v>
      </c>
      <c r="L3" s="48" t="s">
        <v>206</v>
      </c>
      <c r="M3" s="48" t="s">
        <v>207</v>
      </c>
      <c r="N3" s="49" t="s">
        <v>208</v>
      </c>
    </row>
    <row r="4" spans="1:21" ht="15" thickBot="1" x14ac:dyDescent="0.35">
      <c r="A4" s="66">
        <v>45809</v>
      </c>
      <c r="B4" s="67" t="s">
        <v>34</v>
      </c>
      <c r="C4" s="67" t="str">
        <f>TEXT(Tabla4[[#This Row],[Mes]],"mm/yyyy")&amp;"|"&amp;Tabla4[[#This Row],[Item]]</f>
        <v>06/2025|Trabajo</v>
      </c>
      <c r="D4" s="68">
        <v>2079000</v>
      </c>
      <c r="E4" s="69">
        <v>2079000</v>
      </c>
      <c r="G4" s="50">
        <f>AVERAGE(E3:E14)</f>
        <v>2163421.7941666665</v>
      </c>
      <c r="H4" s="53">
        <v>0.25</v>
      </c>
      <c r="I4" s="51">
        <f>G4*H4</f>
        <v>540855.44854166661</v>
      </c>
      <c r="J4" s="51">
        <v>108000</v>
      </c>
      <c r="K4" s="51">
        <v>95000</v>
      </c>
      <c r="L4" s="51">
        <f>I4-J4-K4</f>
        <v>337855.44854166661</v>
      </c>
      <c r="M4" s="51">
        <v>400000</v>
      </c>
      <c r="N4" s="52">
        <f>M4/G4</f>
        <v>0.18489228548891315</v>
      </c>
      <c r="P4" s="57"/>
      <c r="U4" s="57"/>
    </row>
    <row r="5" spans="1:21" x14ac:dyDescent="0.3">
      <c r="A5" s="66">
        <v>45839</v>
      </c>
      <c r="B5" s="67" t="s">
        <v>34</v>
      </c>
      <c r="C5" s="67" t="str">
        <f>TEXT(Tabla4[[#This Row],[Mes]],"mm/yyyy")&amp;"|"&amp;Tabla4[[#This Row],[Item]]</f>
        <v>07/2025|Trabajo</v>
      </c>
      <c r="D5" s="68">
        <v>2292185</v>
      </c>
      <c r="E5" s="69">
        <v>2292185</v>
      </c>
      <c r="G5" s="87" t="s">
        <v>209</v>
      </c>
      <c r="H5" s="88"/>
      <c r="I5" s="88"/>
      <c r="J5" s="88"/>
      <c r="K5" s="88"/>
      <c r="L5" s="88"/>
      <c r="M5" s="88"/>
      <c r="N5" s="89"/>
      <c r="P5" s="57"/>
      <c r="Q5" s="90" t="s">
        <v>210</v>
      </c>
      <c r="R5" s="91"/>
      <c r="S5" s="91"/>
      <c r="T5" s="92"/>
      <c r="U5" s="57"/>
    </row>
    <row r="6" spans="1:21" x14ac:dyDescent="0.3">
      <c r="A6" s="66">
        <v>45870</v>
      </c>
      <c r="B6" s="67" t="s">
        <v>34</v>
      </c>
      <c r="C6" s="67" t="str">
        <f>TEXT(Tabla4[[#This Row],[Mes]],"mm/yyyy")&amp;"|"&amp;Tabla4[[#This Row],[Item]]</f>
        <v>08/2025|Trabajo</v>
      </c>
      <c r="D6" s="68">
        <v>2303700</v>
      </c>
      <c r="E6" s="69">
        <v>2303700</v>
      </c>
      <c r="G6" t="s">
        <v>211</v>
      </c>
      <c r="H6" t="s">
        <v>196</v>
      </c>
      <c r="I6" t="s">
        <v>212</v>
      </c>
      <c r="J6" t="s">
        <v>213</v>
      </c>
      <c r="K6" t="s">
        <v>202</v>
      </c>
      <c r="L6" t="s">
        <v>214</v>
      </c>
      <c r="M6" t="s">
        <v>215</v>
      </c>
      <c r="P6" s="57"/>
      <c r="Q6" s="58" t="s">
        <v>196</v>
      </c>
      <c r="R6" s="59" t="s">
        <v>206</v>
      </c>
      <c r="S6" s="59" t="s">
        <v>202</v>
      </c>
      <c r="T6" s="60" t="s">
        <v>199</v>
      </c>
      <c r="U6" s="57"/>
    </row>
    <row r="7" spans="1:21" x14ac:dyDescent="0.3">
      <c r="A7" s="66">
        <v>45901</v>
      </c>
      <c r="B7" s="67" t="s">
        <v>34</v>
      </c>
      <c r="C7" s="67" t="str">
        <f>TEXT(Tabla4[[#This Row],[Mes]],"mm/yyyy")&amp;"|"&amp;Tabla4[[#This Row],[Item]]</f>
        <v>09/2025|Trabajo</v>
      </c>
      <c r="D7" s="68">
        <v>2244183.33</v>
      </c>
      <c r="E7" s="69">
        <v>2244183.33</v>
      </c>
      <c r="G7">
        <v>1</v>
      </c>
      <c r="H7" s="9">
        <v>46143</v>
      </c>
      <c r="I7" s="21">
        <v>2698887</v>
      </c>
      <c r="J7" s="44">
        <v>1819314</v>
      </c>
      <c r="K7" s="54">
        <v>0.25</v>
      </c>
      <c r="L7" s="44">
        <f>K7*J7</f>
        <v>454828.5</v>
      </c>
      <c r="M7" s="55">
        <f>L7/I7</f>
        <v>0.16852446953132902</v>
      </c>
      <c r="P7" s="57"/>
      <c r="Q7" s="61">
        <v>46235</v>
      </c>
      <c r="R7" s="62">
        <f>VLOOKUP(Q7,Tabla5[[Mes]:[Declarado]],3,TRUE)</f>
        <v>1786359.3770320877</v>
      </c>
      <c r="S7" s="63">
        <f>K8</f>
        <v>0.25</v>
      </c>
      <c r="T7" s="64">
        <f>VLOOKUP(Q7,Tabla5[[Mes]:[Total Pago]],5,TRUE)</f>
        <v>446589.84425802191</v>
      </c>
      <c r="U7" s="57"/>
    </row>
    <row r="8" spans="1:21" x14ac:dyDescent="0.3">
      <c r="A8" s="66">
        <v>45931</v>
      </c>
      <c r="B8" s="67" t="s">
        <v>34</v>
      </c>
      <c r="C8" s="67" t="str">
        <f>TEXT(Tabla4[[#This Row],[Mes]],"mm/yyyy")&amp;"|"&amp;Tabla4[[#This Row],[Item]]</f>
        <v>10/2025|Trabajo</v>
      </c>
      <c r="D8" s="68">
        <v>2189000</v>
      </c>
      <c r="E8" s="69">
        <v>2189000</v>
      </c>
      <c r="G8">
        <v>2</v>
      </c>
      <c r="H8" s="9">
        <v>46174</v>
      </c>
      <c r="I8" s="21">
        <f>VLOOKUP(Tabla5[[#This Row],[Mes]],Tabla4[],5,TRUE)</f>
        <v>2715389.65</v>
      </c>
      <c r="J8" s="44">
        <f>(Tabla5[[#This Row],[Valor Base]]*$J$7)/($I$7)</f>
        <v>1830438.4013484446</v>
      </c>
      <c r="K8" s="56">
        <f>$K$7</f>
        <v>0.25</v>
      </c>
      <c r="L8" s="44">
        <f>K8*J8</f>
        <v>457609.60033711116</v>
      </c>
      <c r="M8" s="34">
        <f>L8/I8</f>
        <v>0.16852446953132902</v>
      </c>
      <c r="P8" s="57"/>
      <c r="Q8" s="57"/>
      <c r="R8" s="57"/>
      <c r="S8" s="57"/>
      <c r="T8" s="57"/>
      <c r="U8" s="57"/>
    </row>
    <row r="9" spans="1:21" x14ac:dyDescent="0.3">
      <c r="A9" s="66">
        <v>45962</v>
      </c>
      <c r="B9" s="67" t="s">
        <v>34</v>
      </c>
      <c r="C9" s="67" t="str">
        <f>TEXT(Tabla4[[#This Row],[Mes]],"mm/yyyy")&amp;"|"&amp;Tabla4[[#This Row],[Item]]</f>
        <v>11/2025|Trabajo</v>
      </c>
      <c r="D9" s="68">
        <v>2112000</v>
      </c>
      <c r="E9" s="69">
        <v>2112000</v>
      </c>
      <c r="G9">
        <v>3</v>
      </c>
      <c r="H9" s="9">
        <v>46204</v>
      </c>
      <c r="I9" s="21">
        <f>VLOOKUP(Tabla5[[#This Row],[Mes]],Tabla4[],5,TRUE)</f>
        <v>2755344.88</v>
      </c>
      <c r="J9" s="44">
        <f>(Tabla5[[#This Row],[Valor Base]]*$J$7)/($I$7)</f>
        <v>1857372.1371114536</v>
      </c>
      <c r="K9" s="56">
        <f t="shared" ref="K9:K24" si="0">$K$7</f>
        <v>0.25</v>
      </c>
      <c r="L9" s="44">
        <f t="shared" ref="L9:L24" si="1">K9*J9</f>
        <v>464343.03427786339</v>
      </c>
      <c r="M9" s="34">
        <f t="shared" ref="M9:M24" si="2">L9/I9</f>
        <v>0.16852446953132902</v>
      </c>
      <c r="P9" s="57"/>
      <c r="Q9" s="57"/>
      <c r="R9" s="57"/>
      <c r="S9" s="57"/>
      <c r="T9" s="57"/>
      <c r="U9" s="57"/>
    </row>
    <row r="10" spans="1:21" x14ac:dyDescent="0.3">
      <c r="A10" s="66">
        <v>45992</v>
      </c>
      <c r="B10" s="67" t="s">
        <v>34</v>
      </c>
      <c r="C10" s="67" t="str">
        <f>TEXT(Tabla4[[#This Row],[Mes]],"mm/yyyy")&amp;"|"&amp;Tabla4[[#This Row],[Item]]</f>
        <v>12/2025|Trabajo</v>
      </c>
      <c r="D10" s="68">
        <v>2073500</v>
      </c>
      <c r="E10" s="69">
        <v>2073500</v>
      </c>
      <c r="G10">
        <v>4</v>
      </c>
      <c r="H10" s="9">
        <v>46235</v>
      </c>
      <c r="I10" s="21">
        <f>VLOOKUP(Tabla5[[#This Row],[Mes]],Tabla4[],5,TRUE)</f>
        <v>2650000</v>
      </c>
      <c r="J10" s="44">
        <f>(Tabla5[[#This Row],[Valor Base]]*$J$7)/($I$7)</f>
        <v>1786359.3770320877</v>
      </c>
      <c r="K10" s="56">
        <f t="shared" si="0"/>
        <v>0.25</v>
      </c>
      <c r="L10" s="44">
        <f t="shared" si="1"/>
        <v>446589.84425802191</v>
      </c>
      <c r="M10" s="34">
        <f t="shared" si="2"/>
        <v>0.16852446953132902</v>
      </c>
    </row>
    <row r="11" spans="1:21" x14ac:dyDescent="0.3">
      <c r="A11" s="9">
        <v>46023</v>
      </c>
      <c r="B11" t="s">
        <v>34</v>
      </c>
      <c r="C11" t="str">
        <f>TEXT(Tabla4[[#This Row],[Mes]],"mm/yyyy")&amp;"|"&amp;Tabla4[[#This Row],[Item]]</f>
        <v>01/2026|Trabajo</v>
      </c>
      <c r="D11" s="65">
        <v>2256738</v>
      </c>
      <c r="E11" s="21">
        <v>2256738</v>
      </c>
      <c r="G11" s="70">
        <v>5</v>
      </c>
      <c r="H11" s="71">
        <v>46266</v>
      </c>
      <c r="I11" s="72">
        <f>VLOOKUP(Tabla5[[#This Row],[Mes]],Tabla4[],5,TRUE)</f>
        <v>2650000</v>
      </c>
      <c r="J11" s="73">
        <f>(Tabla5[[#This Row],[Valor Base]]*$J$7)/($I$7)</f>
        <v>1786359.3770320877</v>
      </c>
      <c r="K11" s="74">
        <f t="shared" si="0"/>
        <v>0.25</v>
      </c>
      <c r="L11" s="73">
        <f t="shared" si="1"/>
        <v>446589.84425802191</v>
      </c>
      <c r="M11" s="75">
        <f t="shared" si="2"/>
        <v>0.16852446953132902</v>
      </c>
    </row>
    <row r="12" spans="1:21" x14ac:dyDescent="0.3">
      <c r="A12" s="9">
        <v>46054</v>
      </c>
      <c r="B12" t="s">
        <v>34</v>
      </c>
      <c r="C12" t="str">
        <f>TEXT(Tabla4[[#This Row],[Mes]],"mm/yyyy")&amp;"|"&amp;Tabla4[[#This Row],[Item]]</f>
        <v>02/2026|Trabajo</v>
      </c>
      <c r="D12" s="65">
        <v>2439396</v>
      </c>
      <c r="E12" s="21">
        <v>2439396</v>
      </c>
      <c r="G12" s="70">
        <v>6</v>
      </c>
      <c r="H12" s="71">
        <v>46296</v>
      </c>
      <c r="I12" s="72">
        <f>VLOOKUP(Tabla5[[#This Row],[Mes]],Tabla4[],5,TRUE)</f>
        <v>2650000</v>
      </c>
      <c r="J12" s="73">
        <f>(Tabla5[[#This Row],[Valor Base]]*$J$7)/($I$7)</f>
        <v>1786359.3770320877</v>
      </c>
      <c r="K12" s="74">
        <f t="shared" si="0"/>
        <v>0.25</v>
      </c>
      <c r="L12" s="73">
        <f t="shared" si="1"/>
        <v>446589.84425802191</v>
      </c>
      <c r="M12" s="75">
        <f t="shared" si="2"/>
        <v>0.16852446953132902</v>
      </c>
    </row>
    <row r="13" spans="1:21" x14ac:dyDescent="0.3">
      <c r="A13" s="9">
        <v>46082</v>
      </c>
      <c r="B13" t="s">
        <v>34</v>
      </c>
      <c r="C13" t="str">
        <f>TEXT(Tabla4[[#This Row],[Mes]],"mm/yyyy")&amp;"|"&amp;Tabla4[[#This Row],[Item]]</f>
        <v>03/2026|Trabajo</v>
      </c>
      <c r="D13" s="65">
        <v>2354442.2000000002</v>
      </c>
      <c r="E13" s="21">
        <v>2354442.2000000002</v>
      </c>
      <c r="G13" s="70">
        <v>7</v>
      </c>
      <c r="H13" s="71">
        <v>46327</v>
      </c>
      <c r="I13" s="72">
        <f>VLOOKUP(Tabla5[[#This Row],[Mes]],Tabla4[],5,TRUE)</f>
        <v>2650000</v>
      </c>
      <c r="J13" s="73">
        <f>(Tabla5[[#This Row],[Valor Base]]*$J$7)/($I$7)</f>
        <v>1786359.3770320877</v>
      </c>
      <c r="K13" s="74">
        <f t="shared" si="0"/>
        <v>0.25</v>
      </c>
      <c r="L13" s="73">
        <f t="shared" si="1"/>
        <v>446589.84425802191</v>
      </c>
      <c r="M13" s="75">
        <f t="shared" si="2"/>
        <v>0.16852446953132902</v>
      </c>
    </row>
    <row r="14" spans="1:21" x14ac:dyDescent="0.3">
      <c r="A14" s="9">
        <v>46113</v>
      </c>
      <c r="B14" t="s">
        <v>34</v>
      </c>
      <c r="C14" t="str">
        <f>TEXT(Tabla4[[#This Row],[Mes]],"mm/yyyy")&amp;"|"&amp;Tabla4[[#This Row],[Item]]</f>
        <v>04/2026|Trabajo</v>
      </c>
      <c r="D14" s="65">
        <v>2482167</v>
      </c>
      <c r="E14" s="21">
        <v>2482167</v>
      </c>
      <c r="G14" s="70">
        <v>8</v>
      </c>
      <c r="H14" s="71">
        <v>46357</v>
      </c>
      <c r="I14" s="72">
        <f>VLOOKUP(Tabla5[[#This Row],[Mes]],Tabla4[],5,TRUE)</f>
        <v>2650000</v>
      </c>
      <c r="J14" s="73">
        <f>(Tabla5[[#This Row],[Valor Base]]*$J$7)/($I$7)</f>
        <v>1786359.3770320877</v>
      </c>
      <c r="K14" s="74">
        <f t="shared" si="0"/>
        <v>0.25</v>
      </c>
      <c r="L14" s="73">
        <f t="shared" si="1"/>
        <v>446589.84425802191</v>
      </c>
      <c r="M14" s="75">
        <f t="shared" si="2"/>
        <v>0.16852446953132902</v>
      </c>
    </row>
    <row r="15" spans="1:21" x14ac:dyDescent="0.3">
      <c r="A15" s="9">
        <v>46143</v>
      </c>
      <c r="B15" t="s">
        <v>34</v>
      </c>
      <c r="C15" t="str">
        <f>TEXT(Tabla4[[#This Row],[Mes]],"mm/yyyy")&amp;"|"&amp;Tabla4[[#This Row],[Item]]</f>
        <v>05/2026|Trabajo</v>
      </c>
      <c r="D15" s="65">
        <v>2627550.77</v>
      </c>
      <c r="E15" s="21">
        <v>2627550.77</v>
      </c>
      <c r="G15" s="70">
        <v>9</v>
      </c>
      <c r="H15" s="71">
        <v>46388</v>
      </c>
      <c r="I15" s="72">
        <f>VLOOKUP(Tabla5[[#This Row],[Mes]],Tabla4[],5,TRUE)</f>
        <v>2650000</v>
      </c>
      <c r="J15" s="73">
        <f>(Tabla5[[#This Row],[Valor Base]]*$J$7)/($I$7)</f>
        <v>1786359.3770320877</v>
      </c>
      <c r="K15" s="74">
        <f t="shared" si="0"/>
        <v>0.25</v>
      </c>
      <c r="L15" s="73">
        <f t="shared" si="1"/>
        <v>446589.84425802191</v>
      </c>
      <c r="M15" s="75">
        <f t="shared" si="2"/>
        <v>0.16852446953132902</v>
      </c>
    </row>
    <row r="16" spans="1:21" x14ac:dyDescent="0.3">
      <c r="A16" s="9">
        <v>46174</v>
      </c>
      <c r="B16" t="s">
        <v>34</v>
      </c>
      <c r="C16" t="str">
        <f>TEXT(Tabla4[[#This Row],[Mes]],"mm/yyyy")&amp;"|"&amp;Tabla4[[#This Row],[Item]]</f>
        <v>06/2026|Trabajo</v>
      </c>
      <c r="D16" s="65">
        <v>3038118</v>
      </c>
      <c r="E16" s="21">
        <v>2715389.65</v>
      </c>
      <c r="G16" s="70">
        <v>10</v>
      </c>
      <c r="H16" s="71">
        <v>46419</v>
      </c>
      <c r="I16" s="72">
        <f>VLOOKUP(Tabla5[[#This Row],[Mes]],Tabla4[],5,TRUE)</f>
        <v>2650000</v>
      </c>
      <c r="J16" s="73">
        <f>(Tabla5[[#This Row],[Valor Base]]*$J$7)/($I$7)</f>
        <v>1786359.3770320877</v>
      </c>
      <c r="K16" s="74">
        <f t="shared" si="0"/>
        <v>0.25</v>
      </c>
      <c r="L16" s="73">
        <f t="shared" si="1"/>
        <v>446589.84425802191</v>
      </c>
      <c r="M16" s="75">
        <f t="shared" si="2"/>
        <v>0.16852446953132902</v>
      </c>
    </row>
    <row r="17" spans="1:13" x14ac:dyDescent="0.3">
      <c r="A17" s="9">
        <v>46204</v>
      </c>
      <c r="B17" t="s">
        <v>34</v>
      </c>
      <c r="C17" t="str">
        <f>TEXT(Tabla4[[#This Row],[Mes]],"mm/yyyy")&amp;"|"&amp;Tabla4[[#This Row],[Item]]</f>
        <v>07/2026|Trabajo</v>
      </c>
      <c r="D17" s="65">
        <v>3239763</v>
      </c>
      <c r="E17" s="21">
        <v>2755344.88</v>
      </c>
      <c r="G17" s="70">
        <v>11</v>
      </c>
      <c r="H17" s="71">
        <v>46447</v>
      </c>
      <c r="I17" s="72">
        <f>VLOOKUP(Tabla5[[#This Row],[Mes]],Tabla4[],5,TRUE)</f>
        <v>2650000</v>
      </c>
      <c r="J17" s="73">
        <f>(Tabla5[[#This Row],[Valor Base]]*$J$7)/($I$7)</f>
        <v>1786359.3770320877</v>
      </c>
      <c r="K17" s="74">
        <f t="shared" si="0"/>
        <v>0.25</v>
      </c>
      <c r="L17" s="73">
        <f t="shared" si="1"/>
        <v>446589.84425802191</v>
      </c>
      <c r="M17" s="75">
        <f t="shared" si="2"/>
        <v>0.16852446953132902</v>
      </c>
    </row>
    <row r="18" spans="1:13" x14ac:dyDescent="0.3">
      <c r="A18" s="9">
        <v>46235</v>
      </c>
      <c r="B18" t="s">
        <v>34</v>
      </c>
      <c r="C18" t="str">
        <f>TEXT(Tabla4[[#This Row],[Mes]],"mm/yyyy")&amp;"|"&amp;Tabla4[[#This Row],[Item]]</f>
        <v>08/2026|Trabajo</v>
      </c>
      <c r="E18" s="21">
        <v>2650000</v>
      </c>
      <c r="G18" s="70">
        <v>12</v>
      </c>
      <c r="H18" s="71">
        <v>46478</v>
      </c>
      <c r="I18" s="72">
        <f>VLOOKUP(Tabla5[[#This Row],[Mes]],Tabla4[],5,TRUE)</f>
        <v>2650000</v>
      </c>
      <c r="J18" s="73">
        <f>(Tabla5[[#This Row],[Valor Base]]*$J$7)/($I$7)</f>
        <v>1786359.3770320877</v>
      </c>
      <c r="K18" s="74">
        <f t="shared" si="0"/>
        <v>0.25</v>
      </c>
      <c r="L18" s="73">
        <f t="shared" si="1"/>
        <v>446589.84425802191</v>
      </c>
      <c r="M18" s="75">
        <f t="shared" si="2"/>
        <v>0.16852446953132902</v>
      </c>
    </row>
    <row r="19" spans="1:13" x14ac:dyDescent="0.3">
      <c r="G19" s="70">
        <v>13</v>
      </c>
      <c r="H19" s="71">
        <v>46508</v>
      </c>
      <c r="I19" s="72">
        <f>VLOOKUP(Tabla5[[#This Row],[Mes]],Tabla4[],5,TRUE)</f>
        <v>2650000</v>
      </c>
      <c r="J19" s="73">
        <f>(Tabla5[[#This Row],[Valor Base]]*$J$7)/($I$7)</f>
        <v>1786359.3770320877</v>
      </c>
      <c r="K19" s="74">
        <f t="shared" si="0"/>
        <v>0.25</v>
      </c>
      <c r="L19" s="73">
        <f t="shared" si="1"/>
        <v>446589.84425802191</v>
      </c>
      <c r="M19" s="75">
        <f t="shared" si="2"/>
        <v>0.16852446953132902</v>
      </c>
    </row>
    <row r="20" spans="1:13" x14ac:dyDescent="0.3">
      <c r="G20" s="70">
        <v>14</v>
      </c>
      <c r="H20" s="71">
        <v>46539</v>
      </c>
      <c r="I20" s="72">
        <f>VLOOKUP(Tabla5[[#This Row],[Mes]],Tabla4[],5,TRUE)</f>
        <v>2650000</v>
      </c>
      <c r="J20" s="73">
        <f>(Tabla5[[#This Row],[Valor Base]]*$J$7)/($I$7)</f>
        <v>1786359.3770320877</v>
      </c>
      <c r="K20" s="74">
        <f t="shared" si="0"/>
        <v>0.25</v>
      </c>
      <c r="L20" s="73">
        <f t="shared" si="1"/>
        <v>446589.84425802191</v>
      </c>
      <c r="M20" s="75">
        <f t="shared" si="2"/>
        <v>0.16852446953132902</v>
      </c>
    </row>
    <row r="21" spans="1:13" x14ac:dyDescent="0.3">
      <c r="G21" s="70">
        <v>15</v>
      </c>
      <c r="H21" s="71">
        <v>46569</v>
      </c>
      <c r="I21" s="72">
        <f>VLOOKUP(Tabla5[[#This Row],[Mes]],Tabla4[],5,TRUE)</f>
        <v>2650000</v>
      </c>
      <c r="J21" s="73">
        <f>(Tabla5[[#This Row],[Valor Base]]*$J$7)/($I$7)</f>
        <v>1786359.3770320877</v>
      </c>
      <c r="K21" s="74">
        <f t="shared" si="0"/>
        <v>0.25</v>
      </c>
      <c r="L21" s="73">
        <f t="shared" si="1"/>
        <v>446589.84425802191</v>
      </c>
      <c r="M21" s="75">
        <f t="shared" si="2"/>
        <v>0.16852446953132902</v>
      </c>
    </row>
    <row r="22" spans="1:13" x14ac:dyDescent="0.3">
      <c r="G22" s="70">
        <v>16</v>
      </c>
      <c r="H22" s="71">
        <v>46600</v>
      </c>
      <c r="I22" s="72">
        <f>VLOOKUP(Tabla5[[#This Row],[Mes]],Tabla4[],5,TRUE)</f>
        <v>2650000</v>
      </c>
      <c r="J22" s="73">
        <f>(Tabla5[[#This Row],[Valor Base]]*$J$7)/($I$7)</f>
        <v>1786359.3770320877</v>
      </c>
      <c r="K22" s="74">
        <f t="shared" si="0"/>
        <v>0.25</v>
      </c>
      <c r="L22" s="73">
        <f t="shared" si="1"/>
        <v>446589.84425802191</v>
      </c>
      <c r="M22" s="75">
        <f t="shared" si="2"/>
        <v>0.16852446953132902</v>
      </c>
    </row>
    <row r="23" spans="1:13" x14ac:dyDescent="0.3">
      <c r="G23" s="70">
        <v>17</v>
      </c>
      <c r="H23" s="71">
        <v>46631</v>
      </c>
      <c r="I23" s="72">
        <f>VLOOKUP(Tabla5[[#This Row],[Mes]],Tabla4[],5,TRUE)</f>
        <v>2650000</v>
      </c>
      <c r="J23" s="73">
        <f>(Tabla5[[#This Row],[Valor Base]]*$J$7)/($I$7)</f>
        <v>1786359.3770320877</v>
      </c>
      <c r="K23" s="74">
        <f t="shared" si="0"/>
        <v>0.25</v>
      </c>
      <c r="L23" s="73">
        <f t="shared" si="1"/>
        <v>446589.84425802191</v>
      </c>
      <c r="M23" s="75">
        <f t="shared" si="2"/>
        <v>0.16852446953132902</v>
      </c>
    </row>
    <row r="24" spans="1:13" x14ac:dyDescent="0.3">
      <c r="G24" s="70">
        <v>18</v>
      </c>
      <c r="H24" s="71">
        <v>46661</v>
      </c>
      <c r="I24" s="72">
        <f>VLOOKUP(Tabla5[[#This Row],[Mes]],Tabla4[],5,TRUE)</f>
        <v>2650000</v>
      </c>
      <c r="J24" s="73">
        <f>(Tabla5[[#This Row],[Valor Base]]*$J$7)/($I$7)</f>
        <v>1786359.3770320877</v>
      </c>
      <c r="K24" s="74">
        <f t="shared" si="0"/>
        <v>0.25</v>
      </c>
      <c r="L24" s="73">
        <f t="shared" si="1"/>
        <v>446589.84425802191</v>
      </c>
      <c r="M24" s="75">
        <f t="shared" si="2"/>
        <v>0.16852446953132902</v>
      </c>
    </row>
  </sheetData>
  <mergeCells count="4">
    <mergeCell ref="G1:N1"/>
    <mergeCell ref="G2:N2"/>
    <mergeCell ref="G5:N5"/>
    <mergeCell ref="Q5:T5"/>
  </mergeCells>
  <pageMargins left="0.7" right="0.7" top="0.75" bottom="0.75" header="0.3" footer="0.3"/>
  <pageSetup orientation="portrait" r:id="rId1"/>
  <ignoredErrors>
    <ignoredError sqref="G4" formulaRange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R29" sqref="R29"/>
    </sheetView>
  </sheetViews>
  <sheetFormatPr baseColWidth="10" defaultColWidth="11.44140625" defaultRowHeight="14.4" x14ac:dyDescent="0.3"/>
  <cols>
    <col min="1" max="1" width="15.6640625" bestFit="1" customWidth="1"/>
    <col min="2" max="2" width="11.88671875" customWidth="1"/>
    <col min="9" max="9" width="25.44140625" bestFit="1" customWidth="1"/>
  </cols>
  <sheetData>
    <row r="1" spans="1:9" x14ac:dyDescent="0.3">
      <c r="A1" t="s">
        <v>216</v>
      </c>
      <c r="B1" t="s">
        <v>217</v>
      </c>
      <c r="C1" t="s">
        <v>218</v>
      </c>
    </row>
    <row r="2" spans="1:9" x14ac:dyDescent="0.3">
      <c r="A2" s="9">
        <v>45726</v>
      </c>
      <c r="B2" t="s">
        <v>129</v>
      </c>
      <c r="C2">
        <v>5703</v>
      </c>
    </row>
    <row r="3" spans="1:9" x14ac:dyDescent="0.3">
      <c r="A3" s="9">
        <v>45727</v>
      </c>
      <c r="B3" t="s">
        <v>219</v>
      </c>
      <c r="C3">
        <v>7600</v>
      </c>
    </row>
    <row r="4" spans="1:9" x14ac:dyDescent="0.3">
      <c r="A4" s="9">
        <v>45727</v>
      </c>
      <c r="B4" t="s">
        <v>220</v>
      </c>
      <c r="C4">
        <v>10000</v>
      </c>
    </row>
    <row r="5" spans="1:9" x14ac:dyDescent="0.3">
      <c r="A5" s="9">
        <v>45726</v>
      </c>
      <c r="B5" t="s">
        <v>220</v>
      </c>
      <c r="C5">
        <v>9350</v>
      </c>
    </row>
    <row r="6" spans="1:9" x14ac:dyDescent="0.3">
      <c r="A6" s="9">
        <v>45728</v>
      </c>
      <c r="B6" t="s">
        <v>220</v>
      </c>
      <c r="C6">
        <v>22800</v>
      </c>
    </row>
    <row r="7" spans="1:9" x14ac:dyDescent="0.3">
      <c r="A7" s="9">
        <v>45729</v>
      </c>
      <c r="B7" t="s">
        <v>220</v>
      </c>
      <c r="C7">
        <v>29300</v>
      </c>
    </row>
    <row r="8" spans="1:9" x14ac:dyDescent="0.3">
      <c r="A8" s="9">
        <v>45730</v>
      </c>
      <c r="B8" t="s">
        <v>221</v>
      </c>
      <c r="C8">
        <v>17452</v>
      </c>
    </row>
    <row r="9" spans="1:9" x14ac:dyDescent="0.3">
      <c r="A9" s="9">
        <v>45725</v>
      </c>
      <c r="B9" t="s">
        <v>221</v>
      </c>
      <c r="C9">
        <v>8058</v>
      </c>
    </row>
    <row r="10" spans="1:9" x14ac:dyDescent="0.3">
      <c r="A10" s="9">
        <v>45725</v>
      </c>
      <c r="B10" t="s">
        <v>220</v>
      </c>
      <c r="C10">
        <v>9400</v>
      </c>
      <c r="F10" t="s">
        <v>222</v>
      </c>
      <c r="G10" t="s">
        <v>223</v>
      </c>
      <c r="H10" t="s">
        <v>224</v>
      </c>
      <c r="I10" t="s">
        <v>225</v>
      </c>
    </row>
    <row r="11" spans="1:9" x14ac:dyDescent="0.3">
      <c r="C11">
        <f>SUM(C2:C10)</f>
        <v>119663</v>
      </c>
      <c r="F11">
        <v>25000</v>
      </c>
      <c r="G11">
        <v>4</v>
      </c>
      <c r="H11">
        <v>1</v>
      </c>
    </row>
    <row r="12" spans="1:9" x14ac:dyDescent="0.3">
      <c r="G12">
        <f>F11*G11*2</f>
        <v>200000</v>
      </c>
      <c r="H12">
        <f>F11*H11</f>
        <v>25000</v>
      </c>
      <c r="I12">
        <f>G12+H12</f>
        <v>225000</v>
      </c>
    </row>
    <row r="15" spans="1:9" x14ac:dyDescent="0.3">
      <c r="A15" s="93" t="s">
        <v>226</v>
      </c>
      <c r="B15" s="93"/>
    </row>
    <row r="16" spans="1:9" x14ac:dyDescent="0.3">
      <c r="A16" t="s">
        <v>227</v>
      </c>
      <c r="B16">
        <f>SUM(C2:C7)+C10</f>
        <v>94153</v>
      </c>
    </row>
    <row r="17" spans="1:2" x14ac:dyDescent="0.3">
      <c r="A17" t="s">
        <v>228</v>
      </c>
      <c r="B17">
        <f>8500*4</f>
        <v>34000</v>
      </c>
    </row>
    <row r="18" spans="1:2" x14ac:dyDescent="0.3">
      <c r="A18" t="s">
        <v>206</v>
      </c>
      <c r="B18">
        <f>B16+B17</f>
        <v>128153</v>
      </c>
    </row>
    <row r="19" spans="1:2" x14ac:dyDescent="0.3">
      <c r="A19" t="s">
        <v>229</v>
      </c>
      <c r="B19">
        <f>I12</f>
        <v>225000</v>
      </c>
    </row>
    <row r="20" spans="1:2" x14ac:dyDescent="0.3">
      <c r="A20" t="s">
        <v>230</v>
      </c>
      <c r="B20">
        <f>B19-B18</f>
        <v>96847</v>
      </c>
    </row>
    <row r="22" spans="1:2" x14ac:dyDescent="0.3">
      <c r="A22" t="s">
        <v>231</v>
      </c>
      <c r="B22">
        <v>50000</v>
      </c>
    </row>
    <row r="23" spans="1:2" x14ac:dyDescent="0.3">
      <c r="A23" t="s">
        <v>232</v>
      </c>
      <c r="B23">
        <v>85929</v>
      </c>
    </row>
    <row r="24" spans="1:2" x14ac:dyDescent="0.3">
      <c r="A24" t="s">
        <v>233</v>
      </c>
      <c r="B24">
        <f>C11</f>
        <v>119663</v>
      </c>
    </row>
    <row r="25" spans="1:2" x14ac:dyDescent="0.3">
      <c r="B25">
        <f>B24+B23+B22</f>
        <v>255592</v>
      </c>
    </row>
    <row r="27" spans="1:2" x14ac:dyDescent="0.3">
      <c r="A27" t="s">
        <v>234</v>
      </c>
      <c r="B27">
        <f ca="1">ABS(TODAY()-DATE(2025,4,10))</f>
        <v>515</v>
      </c>
    </row>
    <row r="28" spans="1:2" x14ac:dyDescent="0.3">
      <c r="A28" t="s">
        <v>235</v>
      </c>
      <c r="B28">
        <f ca="1">B25/B27</f>
        <v>496.29514563106795</v>
      </c>
    </row>
  </sheetData>
  <mergeCells count="1">
    <mergeCell ref="A15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workbookViewId="0">
      <selection activeCell="H47" sqref="H47"/>
    </sheetView>
  </sheetViews>
  <sheetFormatPr baseColWidth="10" defaultColWidth="11.5546875" defaultRowHeight="12.75" customHeight="1" x14ac:dyDescent="0.3"/>
  <cols>
    <col min="1" max="1" width="11.5546875" style="12"/>
    <col min="2" max="2" width="10.6640625" style="12" bestFit="1" customWidth="1"/>
    <col min="3" max="3" width="12.33203125" style="12" bestFit="1" customWidth="1"/>
    <col min="4" max="4" width="16.5546875" style="12" bestFit="1" customWidth="1"/>
    <col min="5" max="5" width="27" style="12" bestFit="1" customWidth="1"/>
    <col min="6" max="6" width="43.6640625" style="12" bestFit="1" customWidth="1"/>
    <col min="7" max="7" width="46.88671875" style="12" bestFit="1" customWidth="1"/>
    <col min="8" max="8" width="11.5546875" style="12"/>
    <col min="9" max="9" width="10.33203125" style="12" bestFit="1" customWidth="1"/>
    <col min="10" max="10" width="14.44140625" style="19" bestFit="1" customWidth="1"/>
    <col min="11" max="16384" width="11.5546875" style="12"/>
  </cols>
  <sheetData>
    <row r="1" spans="1:10" ht="14.4" x14ac:dyDescent="0.3">
      <c r="A1" s="12" t="s">
        <v>236</v>
      </c>
      <c r="B1" t="s">
        <v>237</v>
      </c>
      <c r="C1" t="s">
        <v>238</v>
      </c>
      <c r="D1" t="s">
        <v>239</v>
      </c>
      <c r="E1" t="s">
        <v>240</v>
      </c>
      <c r="F1" t="s">
        <v>241</v>
      </c>
      <c r="G1" t="s">
        <v>242</v>
      </c>
      <c r="H1" s="12" t="s">
        <v>218</v>
      </c>
      <c r="I1" s="12" t="s">
        <v>243</v>
      </c>
      <c r="J1" s="19" t="s">
        <v>244</v>
      </c>
    </row>
    <row r="2" spans="1:10" ht="14.4" x14ac:dyDescent="0.3">
      <c r="A2" s="12">
        <v>1</v>
      </c>
      <c r="B2">
        <v>1</v>
      </c>
      <c r="C2" t="s">
        <v>245</v>
      </c>
      <c r="D2" s="9">
        <v>44435</v>
      </c>
      <c r="E2" t="s">
        <v>246</v>
      </c>
      <c r="F2" t="s">
        <v>247</v>
      </c>
      <c r="G2" t="s">
        <v>248</v>
      </c>
      <c r="H2" s="17">
        <v>17379</v>
      </c>
      <c r="I2" s="18">
        <f t="shared" ref="I2:I46" si="0">(H2/H$2)</f>
        <v>1</v>
      </c>
      <c r="J2" s="18" t="str">
        <f>IF((Tabla2[[#This Row],[Monto]]/H2)&gt;1,(Tabla2[[#This Row],[Monto]]/H2),"1")</f>
        <v>1</v>
      </c>
    </row>
    <row r="3" spans="1:10" ht="14.4" x14ac:dyDescent="0.3">
      <c r="A3" s="12">
        <v>1</v>
      </c>
      <c r="B3">
        <v>2</v>
      </c>
      <c r="C3" t="s">
        <v>245</v>
      </c>
      <c r="D3" s="9">
        <v>44459</v>
      </c>
      <c r="E3" t="s">
        <v>249</v>
      </c>
      <c r="F3" t="s">
        <v>250</v>
      </c>
      <c r="G3" t="s">
        <v>248</v>
      </c>
      <c r="H3" s="17">
        <v>17379</v>
      </c>
      <c r="I3" s="18">
        <f t="shared" si="0"/>
        <v>1</v>
      </c>
      <c r="J3" s="18" t="str">
        <f>IF((Tabla2[[#This Row],[Monto]]/H2)&gt;1,(Tabla2[[#This Row],[Monto]]/H2),"1")</f>
        <v>1</v>
      </c>
    </row>
    <row r="4" spans="1:10" ht="14.4" x14ac:dyDescent="0.3">
      <c r="A4" s="12">
        <v>1</v>
      </c>
      <c r="B4">
        <v>3</v>
      </c>
      <c r="C4" t="s">
        <v>245</v>
      </c>
      <c r="D4" s="9">
        <v>44481</v>
      </c>
      <c r="E4" t="s">
        <v>251</v>
      </c>
      <c r="F4" t="s">
        <v>250</v>
      </c>
      <c r="G4" t="s">
        <v>248</v>
      </c>
      <c r="H4" s="17">
        <v>17379</v>
      </c>
      <c r="I4" s="18">
        <f t="shared" si="0"/>
        <v>1</v>
      </c>
      <c r="J4" s="18" t="str">
        <f>IF((Tabla2[[#This Row],[Monto]]/H3)&gt;1,(Tabla2[[#This Row],[Monto]]/H3),"1")</f>
        <v>1</v>
      </c>
    </row>
    <row r="5" spans="1:10" ht="14.4" x14ac:dyDescent="0.3">
      <c r="A5" s="12">
        <v>1</v>
      </c>
      <c r="B5">
        <v>4</v>
      </c>
      <c r="C5" t="s">
        <v>245</v>
      </c>
      <c r="D5" s="9">
        <v>44503</v>
      </c>
      <c r="E5" t="s">
        <v>252</v>
      </c>
      <c r="F5" t="s">
        <v>250</v>
      </c>
      <c r="G5" t="s">
        <v>248</v>
      </c>
      <c r="H5" s="17">
        <v>17379</v>
      </c>
      <c r="I5" s="18">
        <f t="shared" si="0"/>
        <v>1</v>
      </c>
      <c r="J5" s="18" t="str">
        <f>IF((Tabla2[[#This Row],[Monto]]/H4)&gt;1,(Tabla2[[#This Row],[Monto]]/H4),"1")</f>
        <v>1</v>
      </c>
    </row>
    <row r="6" spans="1:10" ht="14.4" x14ac:dyDescent="0.3">
      <c r="A6" s="12">
        <v>1</v>
      </c>
      <c r="B6">
        <v>5</v>
      </c>
      <c r="C6" t="s">
        <v>245</v>
      </c>
      <c r="D6" s="9">
        <v>44531</v>
      </c>
      <c r="E6" t="s">
        <v>253</v>
      </c>
      <c r="F6" t="s">
        <v>254</v>
      </c>
      <c r="G6" t="s">
        <v>248</v>
      </c>
      <c r="H6" s="17">
        <v>17379</v>
      </c>
      <c r="I6" s="18">
        <f t="shared" si="0"/>
        <v>1</v>
      </c>
      <c r="J6" s="18" t="str">
        <f>IF((Tabla2[[#This Row],[Monto]]/H5)&gt;1,(Tabla2[[#This Row],[Monto]]/H5),"1")</f>
        <v>1</v>
      </c>
    </row>
    <row r="7" spans="1:10" ht="14.4" x14ac:dyDescent="0.3">
      <c r="A7" s="12">
        <v>1</v>
      </c>
      <c r="B7">
        <v>6</v>
      </c>
      <c r="C7" t="s">
        <v>245</v>
      </c>
      <c r="D7" s="9">
        <v>44564</v>
      </c>
      <c r="E7" t="s">
        <v>255</v>
      </c>
      <c r="F7" t="s">
        <v>250</v>
      </c>
      <c r="G7" t="s">
        <v>248</v>
      </c>
      <c r="H7" s="17">
        <v>17379</v>
      </c>
      <c r="I7" s="18">
        <f t="shared" si="0"/>
        <v>1</v>
      </c>
      <c r="J7" s="18" t="str">
        <f>IF((Tabla2[[#This Row],[Monto]]/H6)&gt;1,(Tabla2[[#This Row],[Monto]]/H6),"1")</f>
        <v>1</v>
      </c>
    </row>
    <row r="8" spans="1:10" ht="14.4" x14ac:dyDescent="0.3">
      <c r="A8" s="12">
        <v>1</v>
      </c>
      <c r="B8">
        <v>7</v>
      </c>
      <c r="C8" t="s">
        <v>245</v>
      </c>
      <c r="D8" s="9">
        <v>44564</v>
      </c>
      <c r="E8" t="s">
        <v>255</v>
      </c>
      <c r="F8" t="s">
        <v>254</v>
      </c>
      <c r="G8" t="s">
        <v>248</v>
      </c>
      <c r="H8" s="17">
        <v>17379</v>
      </c>
      <c r="I8" s="18">
        <f t="shared" si="0"/>
        <v>1</v>
      </c>
      <c r="J8" s="18" t="str">
        <f>IF((Tabla2[[#This Row],[Monto]]/H7)&gt;1,(Tabla2[[#This Row],[Monto]]/H7),"1")</f>
        <v>1</v>
      </c>
    </row>
    <row r="9" spans="1:10" ht="14.4" x14ac:dyDescent="0.3">
      <c r="A9" s="12">
        <v>1</v>
      </c>
      <c r="B9">
        <v>8</v>
      </c>
      <c r="C9" t="s">
        <v>245</v>
      </c>
      <c r="D9" s="9">
        <v>44599</v>
      </c>
      <c r="E9" t="s">
        <v>256</v>
      </c>
      <c r="F9" t="s">
        <v>250</v>
      </c>
      <c r="G9" t="s">
        <v>248</v>
      </c>
      <c r="H9" s="17">
        <v>17379</v>
      </c>
      <c r="I9" s="18">
        <f t="shared" si="0"/>
        <v>1</v>
      </c>
      <c r="J9" s="18" t="str">
        <f>IF((Tabla2[[#This Row],[Monto]]/H8)&gt;1,(Tabla2[[#This Row],[Monto]]/H8),"1")</f>
        <v>1</v>
      </c>
    </row>
    <row r="10" spans="1:10" ht="14.4" x14ac:dyDescent="0.3">
      <c r="A10" s="12">
        <v>1</v>
      </c>
      <c r="B10">
        <v>9</v>
      </c>
      <c r="C10" t="s">
        <v>245</v>
      </c>
      <c r="D10" s="9">
        <v>44622</v>
      </c>
      <c r="E10" t="s">
        <v>257</v>
      </c>
      <c r="F10" t="s">
        <v>254</v>
      </c>
      <c r="G10" t="s">
        <v>248</v>
      </c>
      <c r="H10" s="17">
        <v>17379</v>
      </c>
      <c r="I10" s="18">
        <f t="shared" si="0"/>
        <v>1</v>
      </c>
      <c r="J10" s="18" t="str">
        <f>IF((Tabla2[[#This Row],[Monto]]/H9)&gt;1,(Tabla2[[#This Row],[Monto]]/H9),"1")</f>
        <v>1</v>
      </c>
    </row>
    <row r="11" spans="1:10" ht="14.4" x14ac:dyDescent="0.3">
      <c r="A11" s="12">
        <v>1</v>
      </c>
      <c r="B11" s="12">
        <v>10</v>
      </c>
      <c r="C11" t="s">
        <v>245</v>
      </c>
      <c r="D11" s="9">
        <v>44652</v>
      </c>
      <c r="E11" t="s">
        <v>258</v>
      </c>
      <c r="F11" t="s">
        <v>254</v>
      </c>
      <c r="G11" t="s">
        <v>248</v>
      </c>
      <c r="H11" s="17">
        <v>17379</v>
      </c>
      <c r="I11" s="18">
        <f t="shared" si="0"/>
        <v>1</v>
      </c>
      <c r="J11" s="18" t="str">
        <f>IF((Tabla2[[#This Row],[Monto]]/H10)&gt;1,(Tabla2[[#This Row],[Monto]]/H10),"1")</f>
        <v>1</v>
      </c>
    </row>
    <row r="12" spans="1:10" ht="14.4" x14ac:dyDescent="0.3">
      <c r="A12" s="12">
        <v>2</v>
      </c>
      <c r="B12">
        <v>1</v>
      </c>
      <c r="C12" t="s">
        <v>245</v>
      </c>
      <c r="D12" s="9">
        <v>44692</v>
      </c>
      <c r="E12" t="s">
        <v>259</v>
      </c>
      <c r="F12" t="s">
        <v>254</v>
      </c>
      <c r="G12" t="s">
        <v>248</v>
      </c>
      <c r="H12" s="17">
        <v>27181</v>
      </c>
      <c r="I12" s="18">
        <f t="shared" si="0"/>
        <v>1.5640140399332527</v>
      </c>
      <c r="J12" s="18">
        <f>IF((Tabla2[[#This Row],[Monto]]/H11)&gt;1,(Tabla2[[#This Row],[Monto]]/H11),"1")</f>
        <v>1.5640140399332527</v>
      </c>
    </row>
    <row r="13" spans="1:10" ht="14.4" x14ac:dyDescent="0.3">
      <c r="A13" s="12">
        <v>2</v>
      </c>
      <c r="B13">
        <v>2</v>
      </c>
      <c r="C13" t="s">
        <v>245</v>
      </c>
      <c r="D13" s="9">
        <v>44722</v>
      </c>
      <c r="E13" t="s">
        <v>260</v>
      </c>
      <c r="F13" t="s">
        <v>254</v>
      </c>
      <c r="G13" t="s">
        <v>248</v>
      </c>
      <c r="H13" s="17">
        <v>27181</v>
      </c>
      <c r="I13" s="18">
        <f t="shared" si="0"/>
        <v>1.5640140399332527</v>
      </c>
      <c r="J13" s="18" t="str">
        <f>IF((Tabla2[[#This Row],[Monto]]/H12)&gt;1,(Tabla2[[#This Row],[Monto]]/H12),"1")</f>
        <v>1</v>
      </c>
    </row>
    <row r="14" spans="1:10" ht="14.4" x14ac:dyDescent="0.3">
      <c r="A14" s="12">
        <v>2</v>
      </c>
      <c r="B14">
        <v>3</v>
      </c>
      <c r="C14" t="s">
        <v>245</v>
      </c>
      <c r="D14" s="9">
        <v>44750</v>
      </c>
      <c r="E14" t="s">
        <v>261</v>
      </c>
      <c r="F14" t="s">
        <v>254</v>
      </c>
      <c r="G14" t="s">
        <v>248</v>
      </c>
      <c r="H14" s="17">
        <v>27181</v>
      </c>
      <c r="I14" s="18">
        <f t="shared" si="0"/>
        <v>1.5640140399332527</v>
      </c>
      <c r="J14" s="18" t="str">
        <f>IF((Tabla2[[#This Row],[Monto]]/H13)&gt;1,(Tabla2[[#This Row],[Monto]]/H13),"1")</f>
        <v>1</v>
      </c>
    </row>
    <row r="15" spans="1:10" ht="14.4" x14ac:dyDescent="0.3">
      <c r="A15" s="12">
        <v>2</v>
      </c>
      <c r="B15">
        <v>4</v>
      </c>
      <c r="C15" t="s">
        <v>245</v>
      </c>
      <c r="D15" s="9">
        <v>44776</v>
      </c>
      <c r="E15" t="s">
        <v>262</v>
      </c>
      <c r="F15" t="s">
        <v>254</v>
      </c>
      <c r="G15" t="s">
        <v>248</v>
      </c>
      <c r="H15" s="17">
        <v>27181</v>
      </c>
      <c r="I15" s="18">
        <f t="shared" si="0"/>
        <v>1.5640140399332527</v>
      </c>
      <c r="J15" s="18" t="str">
        <f>IF((Tabla2[[#This Row],[Monto]]/H14)&gt;1,(Tabla2[[#This Row],[Monto]]/H14),"1")</f>
        <v>1</v>
      </c>
    </row>
    <row r="16" spans="1:10" ht="14.4" x14ac:dyDescent="0.3">
      <c r="A16" s="12">
        <v>2</v>
      </c>
      <c r="B16">
        <v>5</v>
      </c>
      <c r="C16" t="s">
        <v>245</v>
      </c>
      <c r="D16" s="9">
        <v>44809</v>
      </c>
      <c r="E16" t="s">
        <v>263</v>
      </c>
      <c r="F16" t="s">
        <v>254</v>
      </c>
      <c r="G16" t="s">
        <v>248</v>
      </c>
      <c r="H16" s="17">
        <v>27181</v>
      </c>
      <c r="I16" s="18">
        <f t="shared" si="0"/>
        <v>1.5640140399332527</v>
      </c>
      <c r="J16" s="18" t="str">
        <f>IF((Tabla2[[#This Row],[Monto]]/H15)&gt;1,(Tabla2[[#This Row],[Monto]]/H15),"1")</f>
        <v>1</v>
      </c>
    </row>
    <row r="17" spans="1:10" ht="14.4" x14ac:dyDescent="0.3">
      <c r="A17" s="12">
        <v>2</v>
      </c>
      <c r="B17">
        <v>6</v>
      </c>
      <c r="C17" t="s">
        <v>245</v>
      </c>
      <c r="D17" s="9">
        <v>44839</v>
      </c>
      <c r="E17" t="s">
        <v>251</v>
      </c>
      <c r="F17" t="s">
        <v>254</v>
      </c>
      <c r="G17" t="s">
        <v>248</v>
      </c>
      <c r="H17" s="17">
        <v>27181</v>
      </c>
      <c r="I17" s="18">
        <f t="shared" si="0"/>
        <v>1.5640140399332527</v>
      </c>
      <c r="J17" s="18" t="str">
        <f>IF((Tabla2[[#This Row],[Monto]]/H16)&gt;1,(Tabla2[[#This Row],[Monto]]/H16),"1")</f>
        <v>1</v>
      </c>
    </row>
    <row r="18" spans="1:10" ht="14.4" x14ac:dyDescent="0.3">
      <c r="A18" s="12">
        <v>2</v>
      </c>
      <c r="B18">
        <v>7</v>
      </c>
      <c r="C18" t="s">
        <v>245</v>
      </c>
      <c r="D18" s="9">
        <v>44867</v>
      </c>
      <c r="E18" t="s">
        <v>252</v>
      </c>
      <c r="F18" t="s">
        <v>254</v>
      </c>
      <c r="G18" t="s">
        <v>248</v>
      </c>
      <c r="H18" s="17">
        <v>27181</v>
      </c>
      <c r="I18" s="18">
        <f t="shared" si="0"/>
        <v>1.5640140399332527</v>
      </c>
      <c r="J18" s="18" t="str">
        <f>IF((Tabla2[[#This Row],[Monto]]/H17)&gt;1,(Tabla2[[#This Row],[Monto]]/H17),"1")</f>
        <v>1</v>
      </c>
    </row>
    <row r="19" spans="1:10" ht="14.4" x14ac:dyDescent="0.3">
      <c r="A19" s="12">
        <v>2</v>
      </c>
      <c r="B19">
        <v>8</v>
      </c>
      <c r="C19" t="s">
        <v>245</v>
      </c>
      <c r="D19" s="9">
        <v>44897</v>
      </c>
      <c r="E19" t="s">
        <v>253</v>
      </c>
      <c r="F19" t="s">
        <v>254</v>
      </c>
      <c r="G19" t="s">
        <v>248</v>
      </c>
      <c r="H19" s="17">
        <v>27181</v>
      </c>
      <c r="I19" s="18">
        <f t="shared" si="0"/>
        <v>1.5640140399332527</v>
      </c>
      <c r="J19" s="18" t="str">
        <f>IF((Tabla2[[#This Row],[Monto]]/H18)&gt;1,(Tabla2[[#This Row],[Monto]]/H18),"1")</f>
        <v>1</v>
      </c>
    </row>
    <row r="20" spans="1:10" ht="14.4" x14ac:dyDescent="0.3">
      <c r="A20" s="12">
        <v>2</v>
      </c>
      <c r="B20">
        <v>9</v>
      </c>
      <c r="C20" t="s">
        <v>245</v>
      </c>
      <c r="D20" s="9">
        <v>44936</v>
      </c>
      <c r="E20" t="s">
        <v>255</v>
      </c>
      <c r="F20" t="s">
        <v>254</v>
      </c>
      <c r="G20" t="s">
        <v>248</v>
      </c>
      <c r="H20" s="17">
        <v>27181</v>
      </c>
      <c r="I20" s="18">
        <f t="shared" si="0"/>
        <v>1.5640140399332527</v>
      </c>
      <c r="J20" s="18" t="str">
        <f>IF((Tabla2[[#This Row],[Monto]]/H19)&gt;1,(Tabla2[[#This Row],[Monto]]/H19),"1")</f>
        <v>1</v>
      </c>
    </row>
    <row r="21" spans="1:10" ht="14.4" x14ac:dyDescent="0.3">
      <c r="A21" s="12">
        <v>2</v>
      </c>
      <c r="B21">
        <v>10</v>
      </c>
      <c r="C21" t="s">
        <v>245</v>
      </c>
      <c r="D21" s="9">
        <v>44964</v>
      </c>
      <c r="E21" t="s">
        <v>256</v>
      </c>
      <c r="F21" t="s">
        <v>254</v>
      </c>
      <c r="G21" t="s">
        <v>248</v>
      </c>
      <c r="H21" s="17">
        <v>27181</v>
      </c>
      <c r="I21" s="18">
        <f t="shared" si="0"/>
        <v>1.5640140399332527</v>
      </c>
      <c r="J21" s="18" t="str">
        <f>IF((Tabla2[[#This Row],[Monto]]/H20)&gt;1,(Tabla2[[#This Row],[Monto]]/H20),"1")</f>
        <v>1</v>
      </c>
    </row>
    <row r="22" spans="1:10" ht="14.4" x14ac:dyDescent="0.3">
      <c r="A22" s="12">
        <v>2</v>
      </c>
      <c r="B22">
        <v>11</v>
      </c>
      <c r="C22" t="s">
        <v>245</v>
      </c>
      <c r="D22" s="9">
        <v>44987</v>
      </c>
      <c r="E22" t="s">
        <v>257</v>
      </c>
      <c r="F22" t="s">
        <v>254</v>
      </c>
      <c r="G22" t="s">
        <v>248</v>
      </c>
      <c r="H22" s="17">
        <v>27181</v>
      </c>
      <c r="I22" s="18">
        <f t="shared" si="0"/>
        <v>1.5640140399332527</v>
      </c>
      <c r="J22" s="18" t="str">
        <f>IF((Tabla2[[#This Row],[Monto]]/H21)&gt;1,(Tabla2[[#This Row],[Monto]]/H21),"1")</f>
        <v>1</v>
      </c>
    </row>
    <row r="23" spans="1:10" ht="13.8" x14ac:dyDescent="0.3">
      <c r="A23" s="12">
        <v>2</v>
      </c>
      <c r="B23" s="12">
        <v>12</v>
      </c>
      <c r="C23" s="12" t="s">
        <v>245</v>
      </c>
      <c r="D23" s="16">
        <v>45019</v>
      </c>
      <c r="E23" s="12" t="s">
        <v>258</v>
      </c>
      <c r="F23" s="12" t="s">
        <v>254</v>
      </c>
      <c r="G23" s="12" t="s">
        <v>248</v>
      </c>
      <c r="H23" s="17">
        <v>27181</v>
      </c>
      <c r="I23" s="18">
        <f t="shared" si="0"/>
        <v>1.5640140399332527</v>
      </c>
      <c r="J23" s="18" t="str">
        <f>IF((Tabla2[[#This Row],[Monto]]/H22)&gt;1,(Tabla2[[#This Row],[Monto]]/H22),"1")</f>
        <v>1</v>
      </c>
    </row>
    <row r="24" spans="1:10" ht="14.4" x14ac:dyDescent="0.3">
      <c r="A24" s="12">
        <v>3</v>
      </c>
      <c r="B24">
        <v>1</v>
      </c>
      <c r="C24" t="s">
        <v>245</v>
      </c>
      <c r="D24" s="9">
        <v>45051</v>
      </c>
      <c r="E24" t="s">
        <v>259</v>
      </c>
      <c r="F24" t="s">
        <v>254</v>
      </c>
      <c r="G24" t="s">
        <v>248</v>
      </c>
      <c r="H24" s="17">
        <v>57433</v>
      </c>
      <c r="I24" s="18">
        <f t="shared" si="0"/>
        <v>3.3047356004373092</v>
      </c>
      <c r="J24" s="18">
        <f>IF((Tabla2[[#This Row],[Monto]]/H23)&gt;1,(Tabla2[[#This Row],[Monto]]/H23),"1")</f>
        <v>2.1129833339465067</v>
      </c>
    </row>
    <row r="25" spans="1:10" ht="14.4" x14ac:dyDescent="0.3">
      <c r="A25" s="12">
        <v>3</v>
      </c>
      <c r="B25">
        <v>2</v>
      </c>
      <c r="C25" t="s">
        <v>245</v>
      </c>
      <c r="D25" s="9">
        <v>45085</v>
      </c>
      <c r="E25" t="s">
        <v>260</v>
      </c>
      <c r="F25" t="s">
        <v>254</v>
      </c>
      <c r="G25" t="s">
        <v>248</v>
      </c>
      <c r="H25" s="17">
        <v>57433</v>
      </c>
      <c r="I25" s="18">
        <f t="shared" si="0"/>
        <v>3.3047356004373092</v>
      </c>
      <c r="J25" s="18" t="str">
        <f>IF((Tabla2[[#This Row],[Monto]]/H24)&gt;1,(Tabla2[[#This Row],[Monto]]/H24),"1")</f>
        <v>1</v>
      </c>
    </row>
    <row r="26" spans="1:10" ht="14.4" x14ac:dyDescent="0.3">
      <c r="A26" s="12">
        <v>3</v>
      </c>
      <c r="B26">
        <v>3</v>
      </c>
      <c r="C26" t="s">
        <v>245</v>
      </c>
      <c r="D26" s="9">
        <v>45114</v>
      </c>
      <c r="E26" t="s">
        <v>261</v>
      </c>
      <c r="F26" t="s">
        <v>254</v>
      </c>
      <c r="G26" t="s">
        <v>248</v>
      </c>
      <c r="H26" s="17">
        <v>57433</v>
      </c>
      <c r="I26" s="18">
        <f t="shared" si="0"/>
        <v>3.3047356004373092</v>
      </c>
      <c r="J26" s="18" t="str">
        <f>IF((Tabla2[[#This Row],[Monto]]/H25)&gt;1,(Tabla2[[#This Row],[Monto]]/H25),"1")</f>
        <v>1</v>
      </c>
    </row>
    <row r="27" spans="1:10" ht="14.4" x14ac:dyDescent="0.3">
      <c r="A27" s="12">
        <v>3</v>
      </c>
      <c r="B27">
        <v>4</v>
      </c>
      <c r="C27" t="s">
        <v>245</v>
      </c>
      <c r="D27" s="9">
        <v>45141</v>
      </c>
      <c r="E27" t="s">
        <v>262</v>
      </c>
      <c r="F27" t="s">
        <v>254</v>
      </c>
      <c r="G27" t="s">
        <v>248</v>
      </c>
      <c r="H27" s="17">
        <v>57433</v>
      </c>
      <c r="I27" s="18">
        <f t="shared" si="0"/>
        <v>3.3047356004373092</v>
      </c>
      <c r="J27" s="18" t="str">
        <f>IF((Tabla2[[#This Row],[Monto]]/H26)&gt;1,(Tabla2[[#This Row],[Monto]]/H26),"1")</f>
        <v>1</v>
      </c>
    </row>
    <row r="28" spans="1:10" ht="14.4" x14ac:dyDescent="0.3">
      <c r="A28" s="12">
        <v>3</v>
      </c>
      <c r="B28">
        <v>5</v>
      </c>
      <c r="C28" t="s">
        <v>245</v>
      </c>
      <c r="D28" s="9">
        <v>45174</v>
      </c>
      <c r="E28" t="s">
        <v>263</v>
      </c>
      <c r="F28" t="s">
        <v>254</v>
      </c>
      <c r="G28" t="s">
        <v>248</v>
      </c>
      <c r="H28" s="17">
        <v>57433</v>
      </c>
      <c r="I28" s="18">
        <f t="shared" si="0"/>
        <v>3.3047356004373092</v>
      </c>
      <c r="J28" s="18" t="str">
        <f>IF((Tabla2[[#This Row],[Monto]]/H27)&gt;1,(Tabla2[[#This Row],[Monto]]/H27),"1")</f>
        <v>1</v>
      </c>
    </row>
    <row r="29" spans="1:10" ht="14.4" x14ac:dyDescent="0.3">
      <c r="A29" s="12">
        <v>3</v>
      </c>
      <c r="B29">
        <v>6</v>
      </c>
      <c r="C29" t="s">
        <v>245</v>
      </c>
      <c r="D29" s="9">
        <v>45203</v>
      </c>
      <c r="E29" t="s">
        <v>251</v>
      </c>
      <c r="F29" t="s">
        <v>254</v>
      </c>
      <c r="G29" t="s">
        <v>248</v>
      </c>
      <c r="H29" s="17">
        <v>57433</v>
      </c>
      <c r="I29" s="18">
        <f t="shared" si="0"/>
        <v>3.3047356004373092</v>
      </c>
      <c r="J29" s="18" t="str">
        <f>IF((Tabla2[[#This Row],[Monto]]/H28)&gt;1,(Tabla2[[#This Row],[Monto]]/H28),"1")</f>
        <v>1</v>
      </c>
    </row>
    <row r="30" spans="1:10" ht="14.4" x14ac:dyDescent="0.3">
      <c r="A30" s="12">
        <v>3</v>
      </c>
      <c r="B30">
        <v>7</v>
      </c>
      <c r="C30" t="s">
        <v>245</v>
      </c>
      <c r="D30" s="9">
        <v>45238</v>
      </c>
      <c r="E30" t="s">
        <v>252</v>
      </c>
      <c r="F30" t="s">
        <v>254</v>
      </c>
      <c r="G30" t="s">
        <v>248</v>
      </c>
      <c r="H30" s="17">
        <v>57433</v>
      </c>
      <c r="I30" s="18">
        <f t="shared" si="0"/>
        <v>3.3047356004373092</v>
      </c>
      <c r="J30" s="18" t="str">
        <f>IF((Tabla2[[#This Row],[Monto]]/H29)&gt;1,(Tabla2[[#This Row],[Monto]]/H29),"1")</f>
        <v>1</v>
      </c>
    </row>
    <row r="31" spans="1:10" ht="14.4" x14ac:dyDescent="0.3">
      <c r="A31" s="12">
        <v>3</v>
      </c>
      <c r="B31">
        <v>8</v>
      </c>
      <c r="C31" t="s">
        <v>245</v>
      </c>
      <c r="D31" s="9">
        <v>45266</v>
      </c>
      <c r="E31" t="s">
        <v>253</v>
      </c>
      <c r="F31" t="s">
        <v>254</v>
      </c>
      <c r="G31" t="s">
        <v>248</v>
      </c>
      <c r="H31" s="17">
        <v>57433</v>
      </c>
      <c r="I31" s="18">
        <f t="shared" si="0"/>
        <v>3.3047356004373092</v>
      </c>
      <c r="J31" s="18" t="str">
        <f>IF((Tabla2[[#This Row],[Monto]]/H30)&gt;1,(Tabla2[[#This Row],[Monto]]/H30),"1")</f>
        <v>1</v>
      </c>
    </row>
    <row r="32" spans="1:10" ht="14.4" x14ac:dyDescent="0.3">
      <c r="A32" s="12">
        <v>3</v>
      </c>
      <c r="B32">
        <v>10</v>
      </c>
      <c r="C32" t="s">
        <v>245</v>
      </c>
      <c r="D32" s="9">
        <v>45331</v>
      </c>
      <c r="E32" t="s">
        <v>256</v>
      </c>
      <c r="F32" t="s">
        <v>254</v>
      </c>
      <c r="G32" t="s">
        <v>248</v>
      </c>
      <c r="H32" s="17">
        <v>57433</v>
      </c>
      <c r="I32" s="18">
        <f t="shared" si="0"/>
        <v>3.3047356004373092</v>
      </c>
      <c r="J32" s="18" t="str">
        <f>IF((Tabla2[[#This Row],[Monto]]/H31)&gt;1,(Tabla2[[#This Row],[Monto]]/H31),"1")</f>
        <v>1</v>
      </c>
    </row>
    <row r="33" spans="1:10" ht="14.4" x14ac:dyDescent="0.3">
      <c r="A33" s="12">
        <v>3</v>
      </c>
      <c r="B33">
        <v>11</v>
      </c>
      <c r="C33" t="s">
        <v>245</v>
      </c>
      <c r="D33" s="9">
        <v>45358</v>
      </c>
      <c r="E33" t="s">
        <v>257</v>
      </c>
      <c r="F33" t="s">
        <v>254</v>
      </c>
      <c r="G33" t="s">
        <v>248</v>
      </c>
      <c r="H33" s="17">
        <v>57433</v>
      </c>
      <c r="I33" s="18">
        <f t="shared" si="0"/>
        <v>3.3047356004373092</v>
      </c>
      <c r="J33" s="18" t="str">
        <f>IF((Tabla2[[#This Row],[Monto]]/H32)&gt;1,(Tabla2[[#This Row],[Monto]]/H32),"1")</f>
        <v>1</v>
      </c>
    </row>
    <row r="34" spans="1:10" ht="13.8" x14ac:dyDescent="0.3">
      <c r="A34" s="12">
        <v>3</v>
      </c>
      <c r="B34" s="12">
        <v>12</v>
      </c>
      <c r="C34" s="12" t="s">
        <v>245</v>
      </c>
      <c r="D34" s="16">
        <v>45391</v>
      </c>
      <c r="E34" s="12" t="s">
        <v>258</v>
      </c>
      <c r="F34" s="12" t="s">
        <v>254</v>
      </c>
      <c r="G34" s="12" t="s">
        <v>248</v>
      </c>
      <c r="H34" s="17">
        <v>57433</v>
      </c>
      <c r="I34" s="18">
        <f t="shared" si="0"/>
        <v>3.3047356004373092</v>
      </c>
      <c r="J34" s="18" t="str">
        <f>IF((Tabla2[[#This Row],[Monto]]/H33)&gt;1,(Tabla2[[#This Row],[Monto]]/H33),"1")</f>
        <v>1</v>
      </c>
    </row>
    <row r="35" spans="1:10" ht="14.4" x14ac:dyDescent="0.3">
      <c r="A35" s="12">
        <v>4</v>
      </c>
      <c r="B35">
        <v>1</v>
      </c>
      <c r="C35" t="s">
        <v>245</v>
      </c>
      <c r="D35" s="9">
        <v>45429</v>
      </c>
      <c r="E35" t="s">
        <v>259</v>
      </c>
      <c r="F35" t="s">
        <v>254</v>
      </c>
      <c r="G35" t="s">
        <v>248</v>
      </c>
      <c r="H35" s="17">
        <v>81685</v>
      </c>
      <c r="I35" s="18">
        <f t="shared" si="0"/>
        <v>4.7002129006271938</v>
      </c>
      <c r="J35" s="18">
        <f>IF((Tabla2[[#This Row],[Monto]]/H34)&gt;1,(Tabla2[[#This Row],[Monto]]/H34),"1")</f>
        <v>1.4222659446659587</v>
      </c>
    </row>
    <row r="36" spans="1:10" ht="14.4" x14ac:dyDescent="0.3">
      <c r="A36" s="12">
        <v>4</v>
      </c>
      <c r="B36">
        <v>2</v>
      </c>
      <c r="C36" t="s">
        <v>245</v>
      </c>
      <c r="D36" s="9">
        <v>45443</v>
      </c>
      <c r="E36" t="s">
        <v>260</v>
      </c>
      <c r="F36" t="s">
        <v>254</v>
      </c>
      <c r="G36" t="s">
        <v>248</v>
      </c>
      <c r="H36" s="17">
        <v>81685</v>
      </c>
      <c r="I36" s="18">
        <f t="shared" si="0"/>
        <v>4.7002129006271938</v>
      </c>
      <c r="J36" s="18" t="str">
        <f>IF((Tabla2[[#This Row],[Monto]]/H35)&gt;1,(Tabla2[[#This Row],[Monto]]/H35),"1")</f>
        <v>1</v>
      </c>
    </row>
    <row r="37" spans="1:10" ht="14.4" x14ac:dyDescent="0.3">
      <c r="A37" s="12">
        <v>4</v>
      </c>
      <c r="B37">
        <v>3</v>
      </c>
      <c r="C37" t="s">
        <v>245</v>
      </c>
      <c r="D37" s="9">
        <v>45474</v>
      </c>
      <c r="E37" t="s">
        <v>261</v>
      </c>
      <c r="F37" t="s">
        <v>254</v>
      </c>
      <c r="G37" t="s">
        <v>248</v>
      </c>
      <c r="H37" s="17">
        <v>81685</v>
      </c>
      <c r="I37" s="18">
        <f t="shared" si="0"/>
        <v>4.7002129006271938</v>
      </c>
      <c r="J37" s="18" t="str">
        <f>IF((Tabla2[[#This Row],[Monto]]/H36)&gt;1,(Tabla2[[#This Row],[Monto]]/H36),"1")</f>
        <v>1</v>
      </c>
    </row>
    <row r="38" spans="1:10" ht="14.4" x14ac:dyDescent="0.3">
      <c r="A38" s="12">
        <v>4</v>
      </c>
      <c r="B38">
        <v>4</v>
      </c>
      <c r="C38" t="s">
        <v>245</v>
      </c>
      <c r="D38" s="9">
        <v>45506</v>
      </c>
      <c r="E38" t="s">
        <v>262</v>
      </c>
      <c r="F38" t="s">
        <v>254</v>
      </c>
      <c r="G38" t="s">
        <v>248</v>
      </c>
      <c r="H38" s="17">
        <v>81685</v>
      </c>
      <c r="I38" s="18">
        <f t="shared" si="0"/>
        <v>4.7002129006271938</v>
      </c>
      <c r="J38" s="18" t="str">
        <f>IF((Tabla2[[#This Row],[Monto]]/H37)&gt;1,(Tabla2[[#This Row],[Monto]]/H37),"1")</f>
        <v>1</v>
      </c>
    </row>
    <row r="39" spans="1:10" ht="14.4" x14ac:dyDescent="0.3">
      <c r="A39" s="12">
        <v>4</v>
      </c>
      <c r="B39">
        <v>5</v>
      </c>
      <c r="C39" t="s">
        <v>245</v>
      </c>
      <c r="D39" s="9">
        <v>45539</v>
      </c>
      <c r="E39" t="s">
        <v>263</v>
      </c>
      <c r="F39" t="s">
        <v>254</v>
      </c>
      <c r="G39" t="s">
        <v>248</v>
      </c>
      <c r="H39" s="17">
        <v>81685</v>
      </c>
      <c r="I39" s="18">
        <f t="shared" si="0"/>
        <v>4.7002129006271938</v>
      </c>
      <c r="J39" s="18" t="str">
        <f>IF((Tabla2[[#This Row],[Monto]]/H38)&gt;1,(Tabla2[[#This Row],[Monto]]/H38),"1")</f>
        <v>1</v>
      </c>
    </row>
    <row r="40" spans="1:10" ht="14.4" x14ac:dyDescent="0.3">
      <c r="A40" s="12">
        <v>4</v>
      </c>
      <c r="B40">
        <v>6</v>
      </c>
      <c r="C40" t="s">
        <v>245</v>
      </c>
      <c r="D40" s="9">
        <v>45566</v>
      </c>
      <c r="E40" t="s">
        <v>251</v>
      </c>
      <c r="F40" t="s">
        <v>254</v>
      </c>
      <c r="G40" t="s">
        <v>248</v>
      </c>
      <c r="H40" s="17">
        <v>81685</v>
      </c>
      <c r="I40" s="18">
        <f t="shared" si="0"/>
        <v>4.7002129006271938</v>
      </c>
      <c r="J40" s="18" t="str">
        <f>IF((Tabla2[[#This Row],[Monto]]/H39)&gt;1,(Tabla2[[#This Row],[Monto]]/H39),"1")</f>
        <v>1</v>
      </c>
    </row>
    <row r="41" spans="1:10" ht="14.4" x14ac:dyDescent="0.3">
      <c r="A41" s="12">
        <v>4</v>
      </c>
      <c r="B41">
        <v>7</v>
      </c>
      <c r="C41" t="s">
        <v>245</v>
      </c>
      <c r="D41" s="9">
        <v>45597</v>
      </c>
      <c r="E41" t="s">
        <v>252</v>
      </c>
      <c r="F41" t="s">
        <v>254</v>
      </c>
      <c r="G41" t="s">
        <v>248</v>
      </c>
      <c r="H41" s="17">
        <v>81685</v>
      </c>
      <c r="I41" s="18">
        <f t="shared" si="0"/>
        <v>4.7002129006271938</v>
      </c>
      <c r="J41" s="18" t="str">
        <f>IF((Tabla2[[#This Row],[Monto]]/H40)&gt;1,(Tabla2[[#This Row],[Monto]]/H40),"1")</f>
        <v>1</v>
      </c>
    </row>
    <row r="42" spans="1:10" ht="14.4" x14ac:dyDescent="0.3">
      <c r="A42" s="12">
        <v>4</v>
      </c>
      <c r="B42">
        <v>8</v>
      </c>
      <c r="C42" t="s">
        <v>245</v>
      </c>
      <c r="D42" s="9">
        <v>45632</v>
      </c>
      <c r="E42" t="s">
        <v>253</v>
      </c>
      <c r="F42" t="s">
        <v>254</v>
      </c>
      <c r="G42" t="s">
        <v>248</v>
      </c>
      <c r="H42" s="17">
        <v>81685</v>
      </c>
      <c r="I42" s="18">
        <f t="shared" si="0"/>
        <v>4.7002129006271938</v>
      </c>
      <c r="J42" s="18" t="str">
        <f>IF((Tabla2[[#This Row],[Monto]]/H41)&gt;1,(Tabla2[[#This Row],[Monto]]/H41),"1")</f>
        <v>1</v>
      </c>
    </row>
    <row r="43" spans="1:10" ht="14.4" x14ac:dyDescent="0.3">
      <c r="A43" s="12">
        <v>4</v>
      </c>
      <c r="B43">
        <v>9</v>
      </c>
      <c r="C43" t="s">
        <v>245</v>
      </c>
      <c r="D43" s="9">
        <v>45656</v>
      </c>
      <c r="E43" t="s">
        <v>255</v>
      </c>
      <c r="F43" t="s">
        <v>254</v>
      </c>
      <c r="G43" t="s">
        <v>248</v>
      </c>
      <c r="H43" s="17">
        <v>81685</v>
      </c>
      <c r="I43" s="18">
        <f t="shared" si="0"/>
        <v>4.7002129006271938</v>
      </c>
      <c r="J43" s="18" t="str">
        <f>IF((Tabla2[[#This Row],[Monto]]/H42)&gt;1,(Tabla2[[#This Row],[Monto]]/H42),"1")</f>
        <v>1</v>
      </c>
    </row>
    <row r="44" spans="1:10" ht="14.4" x14ac:dyDescent="0.3">
      <c r="A44" s="12">
        <v>4</v>
      </c>
      <c r="B44">
        <v>0</v>
      </c>
      <c r="C44" t="s">
        <v>245</v>
      </c>
      <c r="D44" s="9">
        <v>45681</v>
      </c>
      <c r="E44" t="s">
        <v>264</v>
      </c>
      <c r="F44" t="s">
        <v>254</v>
      </c>
      <c r="G44" t="s">
        <v>248</v>
      </c>
      <c r="H44" s="17">
        <v>81685</v>
      </c>
      <c r="I44" s="18">
        <f t="shared" si="0"/>
        <v>4.7002129006271938</v>
      </c>
      <c r="J44" s="18" t="str">
        <f>IF((Tabla2[[#This Row],[Monto]]/H43)&gt;1,(Tabla2[[#This Row],[Monto]]/H43),"1")</f>
        <v>1</v>
      </c>
    </row>
    <row r="45" spans="1:10" ht="14.4" x14ac:dyDescent="0.3">
      <c r="A45" s="12">
        <v>4</v>
      </c>
      <c r="B45">
        <v>10</v>
      </c>
      <c r="C45" t="s">
        <v>245</v>
      </c>
      <c r="D45" s="9">
        <v>45709</v>
      </c>
      <c r="E45" t="s">
        <v>256</v>
      </c>
      <c r="F45" t="s">
        <v>254</v>
      </c>
      <c r="G45" t="s">
        <v>248</v>
      </c>
      <c r="H45" s="17">
        <v>81685</v>
      </c>
      <c r="I45" s="18">
        <f t="shared" si="0"/>
        <v>4.7002129006271938</v>
      </c>
      <c r="J45" s="18" t="str">
        <f>IF((Tabla2[[#This Row],[Monto]]/H44)&gt;1,(Tabla2[[#This Row],[Monto]]/H44),"1")</f>
        <v>1</v>
      </c>
    </row>
    <row r="46" spans="1:10" ht="13.8" x14ac:dyDescent="0.3">
      <c r="A46" s="12">
        <v>4</v>
      </c>
      <c r="B46" s="12">
        <v>11</v>
      </c>
      <c r="C46" s="12" t="s">
        <v>245</v>
      </c>
      <c r="D46" s="16">
        <v>45721</v>
      </c>
      <c r="E46" s="12" t="s">
        <v>257</v>
      </c>
      <c r="F46" s="12" t="s">
        <v>254</v>
      </c>
      <c r="G46" s="12" t="s">
        <v>248</v>
      </c>
      <c r="H46" s="17">
        <v>81685</v>
      </c>
      <c r="I46" s="18">
        <f t="shared" si="0"/>
        <v>4.7002129006271938</v>
      </c>
      <c r="J46" s="18" t="str">
        <f>IF((Tabla2[[#This Row],[Monto]]/H45)&gt;1,(Tabla2[[#This Row],[Monto]]/H45),"1")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10"/>
  <sheetViews>
    <sheetView workbookViewId="0">
      <selection activeCell="C22" sqref="C22"/>
    </sheetView>
  </sheetViews>
  <sheetFormatPr baseColWidth="10" defaultColWidth="11.44140625" defaultRowHeight="14.4" x14ac:dyDescent="0.3"/>
  <cols>
    <col min="1" max="1" width="16.5546875" customWidth="1"/>
    <col min="2" max="2" width="21.44140625" customWidth="1"/>
    <col min="3" max="3" width="13.6640625" customWidth="1"/>
    <col min="4" max="4" width="11.88671875" customWidth="1"/>
    <col min="5" max="5" width="11.44140625" bestFit="1" customWidth="1"/>
    <col min="6" max="6" width="11.88671875" customWidth="1"/>
    <col min="7" max="7" width="7.88671875" customWidth="1"/>
    <col min="8" max="8" width="11.44140625" customWidth="1"/>
    <col min="9" max="9" width="10.5546875" bestFit="1" customWidth="1"/>
    <col min="10" max="10" width="8.6640625" customWidth="1"/>
    <col min="11" max="11" width="6.33203125" customWidth="1"/>
    <col min="12" max="12" width="7.33203125" customWidth="1"/>
    <col min="13" max="13" width="6.88671875" customWidth="1"/>
    <col min="14" max="14" width="8.44140625" customWidth="1"/>
    <col min="15" max="15" width="7.6640625" customWidth="1"/>
    <col min="16" max="16" width="3.6640625" customWidth="1"/>
    <col min="17" max="18" width="4.6640625" customWidth="1"/>
    <col min="19" max="19" width="11.88671875" bestFit="1" customWidth="1"/>
    <col min="20" max="20" width="7.33203125" customWidth="1"/>
    <col min="21" max="21" width="6" customWidth="1"/>
    <col min="22" max="22" width="10.44140625" customWidth="1"/>
    <col min="23" max="23" width="4.6640625" customWidth="1"/>
    <col min="24" max="24" width="11.44140625" customWidth="1"/>
    <col min="25" max="25" width="7" customWidth="1"/>
    <col min="26" max="26" width="5.88671875" customWidth="1"/>
    <col min="27" max="27" width="7.44140625" customWidth="1"/>
    <col min="28" max="28" width="5.33203125" customWidth="1"/>
    <col min="29" max="29" width="8.109375" customWidth="1"/>
    <col min="30" max="30" width="11.88671875" bestFit="1" customWidth="1"/>
  </cols>
  <sheetData>
    <row r="4" spans="1:9" x14ac:dyDescent="0.3">
      <c r="A4" s="76" t="s">
        <v>265</v>
      </c>
      <c r="B4" s="76" t="s">
        <v>266</v>
      </c>
      <c r="I4" t="s">
        <v>199</v>
      </c>
    </row>
    <row r="5" spans="1:9" x14ac:dyDescent="0.3">
      <c r="A5" s="76" t="s">
        <v>267</v>
      </c>
      <c r="B5" t="s">
        <v>21</v>
      </c>
      <c r="C5" t="s">
        <v>28</v>
      </c>
      <c r="D5" t="s">
        <v>268</v>
      </c>
      <c r="E5" s="79" t="s">
        <v>269</v>
      </c>
      <c r="H5" t="s">
        <v>269</v>
      </c>
      <c r="I5" s="44">
        <f>E10</f>
        <v>2217576</v>
      </c>
    </row>
    <row r="6" spans="1:9" x14ac:dyDescent="0.3">
      <c r="A6" s="77" t="s">
        <v>270</v>
      </c>
      <c r="B6" s="44"/>
      <c r="C6" s="44"/>
      <c r="D6" s="44"/>
      <c r="E6" s="79"/>
      <c r="H6" t="s">
        <v>271</v>
      </c>
      <c r="I6" s="44">
        <v>770000</v>
      </c>
    </row>
    <row r="7" spans="1:9" x14ac:dyDescent="0.3">
      <c r="A7" s="78" t="s">
        <v>272</v>
      </c>
      <c r="B7" s="44">
        <v>2622994</v>
      </c>
      <c r="C7" s="44">
        <v>3360750</v>
      </c>
      <c r="D7" s="44">
        <v>5983744</v>
      </c>
      <c r="E7" s="80">
        <f>GETPIVOTDATA("Importe",$A$4,"MesAnio",9,"Cond de Pago","Cobro Mensual","Años",2026)-GETPIVOTDATA("Importe",$A$4,"MesAnio",9,"Cond de Pago","A pagar","Años",2026)</f>
        <v>737756</v>
      </c>
      <c r="H7" t="s">
        <v>206</v>
      </c>
      <c r="I7" s="44">
        <f>I5+I6</f>
        <v>2987576</v>
      </c>
    </row>
    <row r="8" spans="1:9" x14ac:dyDescent="0.3">
      <c r="A8" s="78" t="s">
        <v>273</v>
      </c>
      <c r="B8" s="44">
        <v>2564915</v>
      </c>
      <c r="C8" s="44">
        <v>3360750</v>
      </c>
      <c r="D8" s="44">
        <v>5925665</v>
      </c>
      <c r="E8" s="80">
        <f>GETPIVOTDATA("Importe",$A$4,"MesAnio",10,"Cond de Pago","Cobro Mensual","Años",2026)-GETPIVOTDATA("Importe",$A$4,"MesAnio",10,"Cond de Pago","A pagar","Años",2026)</f>
        <v>795835</v>
      </c>
    </row>
    <row r="9" spans="1:9" x14ac:dyDescent="0.3">
      <c r="A9" s="78" t="s">
        <v>274</v>
      </c>
      <c r="B9" s="44">
        <v>2676765</v>
      </c>
      <c r="C9" s="44">
        <v>3360750</v>
      </c>
      <c r="D9" s="44">
        <v>6037515</v>
      </c>
      <c r="E9" s="80">
        <f>GETPIVOTDATA("Importe",$A$4,"MesAnio",11,"Cond de Pago","Cobro Mensual","Años",2026)-GETPIVOTDATA("Importe",$A$4,"MesAnio",11,"Cond de Pago","A pagar","Años",2026)</f>
        <v>683985</v>
      </c>
    </row>
    <row r="10" spans="1:9" x14ac:dyDescent="0.3">
      <c r="A10" s="77" t="s">
        <v>268</v>
      </c>
      <c r="B10" s="44">
        <v>7864674</v>
      </c>
      <c r="C10" s="44">
        <v>10082250</v>
      </c>
      <c r="D10" s="44">
        <v>17946924</v>
      </c>
      <c r="E10" s="80">
        <f>SUM(E7:E9)</f>
        <v>2217576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zoomScaleNormal="100" workbookViewId="0">
      <selection activeCell="F11" sqref="F11"/>
    </sheetView>
  </sheetViews>
  <sheetFormatPr baseColWidth="10" defaultColWidth="11.44140625" defaultRowHeight="14.4" x14ac:dyDescent="0.3"/>
  <cols>
    <col min="1" max="1" width="12.109375" customWidth="1"/>
    <col min="2" max="2" width="15.109375" bestFit="1" customWidth="1"/>
    <col min="3" max="3" width="9" bestFit="1" customWidth="1"/>
    <col min="4" max="4" width="14.109375" bestFit="1" customWidth="1"/>
    <col min="5" max="5" width="12.44140625" bestFit="1" customWidth="1"/>
    <col min="6" max="6" width="16" bestFit="1" customWidth="1"/>
    <col min="7" max="7" width="15.88671875" bestFit="1" customWidth="1"/>
    <col min="8" max="8" width="15.109375" bestFit="1" customWidth="1"/>
    <col min="9" max="9" width="8.5546875" bestFit="1" customWidth="1"/>
    <col min="11" max="13" width="12" customWidth="1"/>
  </cols>
  <sheetData>
    <row r="1" spans="1:10" x14ac:dyDescent="0.3">
      <c r="A1" s="93" t="s">
        <v>275</v>
      </c>
      <c r="B1" s="93"/>
      <c r="D1" s="94" t="s">
        <v>276</v>
      </c>
      <c r="E1" s="94"/>
      <c r="F1" s="94"/>
      <c r="G1" s="94"/>
      <c r="H1" s="94"/>
    </row>
    <row r="2" spans="1:10" x14ac:dyDescent="0.3">
      <c r="A2" s="37" t="s">
        <v>277</v>
      </c>
      <c r="B2" s="37" t="s">
        <v>199</v>
      </c>
      <c r="C2" s="21"/>
      <c r="D2" s="38" t="s">
        <v>278</v>
      </c>
      <c r="E2" s="38" t="s">
        <v>5</v>
      </c>
      <c r="F2" s="38" t="s">
        <v>279</v>
      </c>
      <c r="G2" s="38" t="s">
        <v>280</v>
      </c>
      <c r="H2" s="38" t="s">
        <v>281</v>
      </c>
    </row>
    <row r="3" spans="1:10" x14ac:dyDescent="0.3">
      <c r="A3" s="37" t="s">
        <v>282</v>
      </c>
      <c r="B3" s="42">
        <v>9800000</v>
      </c>
      <c r="D3" s="22">
        <v>0</v>
      </c>
      <c r="E3" s="23">
        <v>12</v>
      </c>
      <c r="F3" s="22">
        <v>1241001.02</v>
      </c>
      <c r="G3" s="22">
        <f>E3*F3</f>
        <v>14892012.24</v>
      </c>
      <c r="H3" s="22">
        <f>G3+D3</f>
        <v>14892012.24</v>
      </c>
      <c r="I3" s="34">
        <f t="shared" ref="I3:I20" si="0">(H3/$B$3)-1</f>
        <v>0.51959308571428564</v>
      </c>
    </row>
    <row r="4" spans="1:10" x14ac:dyDescent="0.3">
      <c r="A4" s="37" t="s">
        <v>283</v>
      </c>
      <c r="B4" s="42">
        <v>10800000</v>
      </c>
      <c r="D4" s="26">
        <v>0</v>
      </c>
      <c r="E4" s="27">
        <v>24</v>
      </c>
      <c r="F4" s="26">
        <v>702571.74</v>
      </c>
      <c r="G4" s="26">
        <f t="shared" ref="G4:G20" si="1">E4*F4</f>
        <v>16861721.759999998</v>
      </c>
      <c r="H4" s="26">
        <f t="shared" ref="H4:H20" si="2">G4+D4</f>
        <v>16861721.759999998</v>
      </c>
      <c r="I4" s="34">
        <f t="shared" si="0"/>
        <v>0.7205838530612243</v>
      </c>
    </row>
    <row r="5" spans="1:10" x14ac:dyDescent="0.3">
      <c r="D5" s="30">
        <v>0</v>
      </c>
      <c r="E5" s="31">
        <v>36</v>
      </c>
      <c r="F5" s="30">
        <v>525426.12</v>
      </c>
      <c r="G5" s="30">
        <f t="shared" si="1"/>
        <v>18915340.32</v>
      </c>
      <c r="H5" s="30">
        <f t="shared" si="2"/>
        <v>18915340.32</v>
      </c>
      <c r="I5" s="34">
        <f t="shared" si="0"/>
        <v>0.93013676734693873</v>
      </c>
    </row>
    <row r="6" spans="1:10" x14ac:dyDescent="0.3">
      <c r="D6" s="24">
        <v>0</v>
      </c>
      <c r="E6" s="25">
        <v>48</v>
      </c>
      <c r="F6" s="24">
        <v>438567.56</v>
      </c>
      <c r="G6" s="24">
        <f t="shared" si="1"/>
        <v>21051242.879999999</v>
      </c>
      <c r="H6" s="24">
        <f t="shared" si="2"/>
        <v>21051242.879999999</v>
      </c>
      <c r="I6" s="34">
        <f t="shared" si="0"/>
        <v>1.1480860081632653</v>
      </c>
    </row>
    <row r="7" spans="1:10" x14ac:dyDescent="0.3">
      <c r="D7" s="28">
        <v>0</v>
      </c>
      <c r="E7" s="29">
        <v>60</v>
      </c>
      <c r="F7" s="28">
        <v>387786.99</v>
      </c>
      <c r="G7" s="28">
        <f t="shared" si="1"/>
        <v>23267219.399999999</v>
      </c>
      <c r="H7" s="28">
        <f t="shared" si="2"/>
        <v>23267219.399999999</v>
      </c>
      <c r="I7" s="34">
        <f t="shared" si="0"/>
        <v>1.3742060612244895</v>
      </c>
    </row>
    <row r="8" spans="1:10" x14ac:dyDescent="0.3">
      <c r="D8" s="32">
        <v>0</v>
      </c>
      <c r="E8" s="33">
        <v>72</v>
      </c>
      <c r="F8" s="32">
        <v>355007.35</v>
      </c>
      <c r="G8" s="32">
        <f t="shared" si="1"/>
        <v>25560529.199999999</v>
      </c>
      <c r="H8" s="32">
        <f t="shared" si="2"/>
        <v>25560529.199999999</v>
      </c>
      <c r="I8" s="34">
        <f t="shared" si="0"/>
        <v>1.6082172653061222</v>
      </c>
    </row>
    <row r="9" spans="1:10" x14ac:dyDescent="0.3">
      <c r="D9" s="22">
        <v>2000000</v>
      </c>
      <c r="E9" s="23">
        <v>12</v>
      </c>
      <c r="F9" s="22">
        <v>1013003.16</v>
      </c>
      <c r="G9" s="22">
        <f t="shared" si="1"/>
        <v>12156037.92</v>
      </c>
      <c r="H9" s="22">
        <f t="shared" si="2"/>
        <v>14156037.92</v>
      </c>
      <c r="I9" s="34">
        <f t="shared" si="0"/>
        <v>0.44449366530612244</v>
      </c>
    </row>
    <row r="10" spans="1:10" x14ac:dyDescent="0.3">
      <c r="D10" s="26">
        <v>2000000</v>
      </c>
      <c r="E10" s="27">
        <v>24</v>
      </c>
      <c r="F10" s="26">
        <v>573494.61</v>
      </c>
      <c r="G10" s="26">
        <f t="shared" si="1"/>
        <v>13763870.640000001</v>
      </c>
      <c r="H10" s="26">
        <f t="shared" si="2"/>
        <v>15763870.640000001</v>
      </c>
      <c r="I10" s="34">
        <f t="shared" si="0"/>
        <v>0.60855822857142861</v>
      </c>
    </row>
    <row r="11" spans="1:10" x14ac:dyDescent="0.3">
      <c r="D11" s="26">
        <v>2000000</v>
      </c>
      <c r="E11" s="41">
        <v>36</v>
      </c>
      <c r="F11" s="40">
        <v>428894.34</v>
      </c>
      <c r="G11" s="40">
        <f t="shared" si="1"/>
        <v>15440196.24</v>
      </c>
      <c r="H11" s="40">
        <f t="shared" si="2"/>
        <v>17440196.240000002</v>
      </c>
      <c r="I11" s="36">
        <f t="shared" si="0"/>
        <v>0.77961186122449</v>
      </c>
    </row>
    <row r="12" spans="1:10" x14ac:dyDescent="0.3">
      <c r="D12" s="24">
        <v>2000000</v>
      </c>
      <c r="E12" s="25">
        <v>48</v>
      </c>
      <c r="F12" s="24">
        <v>357993.52</v>
      </c>
      <c r="G12" s="24">
        <f t="shared" si="1"/>
        <v>17183688.960000001</v>
      </c>
      <c r="H12" s="24">
        <f t="shared" si="2"/>
        <v>19183688.960000001</v>
      </c>
      <c r="I12" s="36">
        <f t="shared" si="0"/>
        <v>0.95751928163265321</v>
      </c>
      <c r="J12" s="21"/>
    </row>
    <row r="13" spans="1:10" x14ac:dyDescent="0.3">
      <c r="D13" s="28">
        <v>2000000</v>
      </c>
      <c r="E13" s="29">
        <v>60</v>
      </c>
      <c r="F13" s="28">
        <v>316542.40000000002</v>
      </c>
      <c r="G13" s="28">
        <f t="shared" si="1"/>
        <v>18992544</v>
      </c>
      <c r="H13" s="28">
        <f t="shared" si="2"/>
        <v>20992544</v>
      </c>
      <c r="I13" s="34">
        <f t="shared" si="0"/>
        <v>1.1420963265306123</v>
      </c>
    </row>
    <row r="14" spans="1:10" x14ac:dyDescent="0.3">
      <c r="D14" s="32">
        <v>2000000</v>
      </c>
      <c r="E14" s="33">
        <v>72</v>
      </c>
      <c r="F14" s="32">
        <v>289785.07</v>
      </c>
      <c r="G14" s="32">
        <f t="shared" si="1"/>
        <v>20864525.039999999</v>
      </c>
      <c r="H14" s="32">
        <f t="shared" si="2"/>
        <v>22864525.039999999</v>
      </c>
      <c r="I14" s="34">
        <f t="shared" si="0"/>
        <v>1.3331147999999997</v>
      </c>
    </row>
    <row r="15" spans="1:10" x14ac:dyDescent="0.3">
      <c r="D15" s="22">
        <v>4000000</v>
      </c>
      <c r="E15" s="23">
        <v>12</v>
      </c>
      <c r="F15" s="22">
        <v>788853.36</v>
      </c>
      <c r="G15" s="22">
        <f t="shared" si="1"/>
        <v>9466240.3200000003</v>
      </c>
      <c r="H15" s="22">
        <f t="shared" si="2"/>
        <v>13466240.32</v>
      </c>
      <c r="I15" s="34">
        <f t="shared" si="0"/>
        <v>0.37410615510204082</v>
      </c>
    </row>
    <row r="16" spans="1:10" x14ac:dyDescent="0.3">
      <c r="D16" s="26">
        <v>4000000</v>
      </c>
      <c r="E16" s="27">
        <v>24</v>
      </c>
      <c r="F16" s="26">
        <v>446595.99</v>
      </c>
      <c r="G16" s="26">
        <f t="shared" si="1"/>
        <v>10718303.76</v>
      </c>
      <c r="H16" s="26">
        <f t="shared" si="2"/>
        <v>14718303.76</v>
      </c>
      <c r="I16" s="39">
        <f t="shared" si="0"/>
        <v>0.50186773061224477</v>
      </c>
    </row>
    <row r="17" spans="2:9" x14ac:dyDescent="0.3">
      <c r="D17" s="30">
        <v>4000000</v>
      </c>
      <c r="E17" s="31">
        <v>36</v>
      </c>
      <c r="F17" s="30">
        <v>333991.78999999998</v>
      </c>
      <c r="G17" s="30">
        <f t="shared" si="1"/>
        <v>12023704.439999999</v>
      </c>
      <c r="H17" s="30">
        <f t="shared" si="2"/>
        <v>16023704.439999999</v>
      </c>
      <c r="I17" s="39">
        <f t="shared" si="0"/>
        <v>0.63507188163265305</v>
      </c>
    </row>
    <row r="18" spans="2:9" x14ac:dyDescent="0.3">
      <c r="D18" s="24">
        <v>4000000</v>
      </c>
      <c r="E18" s="25">
        <v>48</v>
      </c>
      <c r="F18" s="24">
        <v>278779.38</v>
      </c>
      <c r="G18" s="24">
        <f t="shared" si="1"/>
        <v>13381410.24</v>
      </c>
      <c r="H18" s="24">
        <f t="shared" si="2"/>
        <v>17381410.240000002</v>
      </c>
      <c r="I18" s="34">
        <f t="shared" si="0"/>
        <v>0.77361328979591848</v>
      </c>
    </row>
    <row r="19" spans="2:9" x14ac:dyDescent="0.3">
      <c r="D19" s="28">
        <v>4000000</v>
      </c>
      <c r="E19" s="29">
        <v>60</v>
      </c>
      <c r="F19" s="28">
        <v>246500.26</v>
      </c>
      <c r="G19" s="28">
        <f t="shared" si="1"/>
        <v>14790015.600000001</v>
      </c>
      <c r="H19" s="28">
        <f t="shared" si="2"/>
        <v>18790015.600000001</v>
      </c>
      <c r="I19" s="34">
        <f t="shared" si="0"/>
        <v>0.91734853061224508</v>
      </c>
    </row>
    <row r="20" spans="2:9" x14ac:dyDescent="0.3">
      <c r="D20" s="32">
        <v>4000000</v>
      </c>
      <c r="E20" s="33">
        <v>72</v>
      </c>
      <c r="F20" s="32">
        <v>225663.58</v>
      </c>
      <c r="G20" s="32">
        <f t="shared" si="1"/>
        <v>16247777.76</v>
      </c>
      <c r="H20" s="32">
        <f t="shared" si="2"/>
        <v>20247777.759999998</v>
      </c>
      <c r="I20" s="34">
        <f t="shared" si="0"/>
        <v>1.0660997714285712</v>
      </c>
    </row>
    <row r="30" spans="2:9" x14ac:dyDescent="0.3">
      <c r="B30" s="93" t="s">
        <v>32</v>
      </c>
      <c r="C30" s="93"/>
      <c r="D30" s="93"/>
      <c r="E30" s="93"/>
    </row>
    <row r="31" spans="2:9" x14ac:dyDescent="0.3">
      <c r="B31" s="37" t="s">
        <v>284</v>
      </c>
      <c r="C31" s="37" t="s">
        <v>285</v>
      </c>
      <c r="D31" s="37" t="s">
        <v>277</v>
      </c>
      <c r="E31" s="37" t="s">
        <v>206</v>
      </c>
    </row>
    <row r="32" spans="2:9" x14ac:dyDescent="0.3">
      <c r="B32" s="37">
        <v>4</v>
      </c>
      <c r="C32" s="37">
        <v>3</v>
      </c>
      <c r="D32" s="42">
        <v>13000</v>
      </c>
      <c r="E32" s="42">
        <f>B32*C32*D32</f>
        <v>156000</v>
      </c>
    </row>
  </sheetData>
  <autoFilter ref="D2:H2"/>
  <mergeCells count="3">
    <mergeCell ref="A1:B1"/>
    <mergeCell ref="D1:H1"/>
    <mergeCell ref="B30:E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workbookViewId="0">
      <selection activeCell="H16" sqref="H16"/>
    </sheetView>
  </sheetViews>
  <sheetFormatPr baseColWidth="10" defaultColWidth="11.44140625" defaultRowHeight="14.4" x14ac:dyDescent="0.3"/>
  <cols>
    <col min="1" max="1" width="13.109375" bestFit="1" customWidth="1"/>
    <col min="2" max="2" width="12.6640625" customWidth="1"/>
    <col min="3" max="3" width="13.33203125" customWidth="1"/>
    <col min="6" max="6" width="12.44140625" customWidth="1"/>
    <col min="8" max="8" width="13.44140625" customWidth="1"/>
  </cols>
  <sheetData>
    <row r="1" spans="1:18" x14ac:dyDescent="0.3">
      <c r="A1" t="s">
        <v>1</v>
      </c>
      <c r="B1" t="s">
        <v>286</v>
      </c>
      <c r="C1" t="s">
        <v>287</v>
      </c>
      <c r="D1" t="s">
        <v>199</v>
      </c>
      <c r="E1" t="s">
        <v>288</v>
      </c>
      <c r="F1" t="s">
        <v>289</v>
      </c>
      <c r="G1" t="s">
        <v>290</v>
      </c>
      <c r="H1" t="s">
        <v>291</v>
      </c>
      <c r="J1" t="s">
        <v>95</v>
      </c>
      <c r="K1" t="s">
        <v>277</v>
      </c>
    </row>
    <row r="2" spans="1:18" x14ac:dyDescent="0.3">
      <c r="A2" t="s">
        <v>149</v>
      </c>
      <c r="B2">
        <v>3</v>
      </c>
      <c r="C2">
        <v>3</v>
      </c>
      <c r="D2" s="44">
        <v>14200</v>
      </c>
      <c r="E2" s="44">
        <f>Tabla3[[#This Row],[Valor]]*Tabla3[[#This Row],[Cant Cuotas]]</f>
        <v>42600</v>
      </c>
      <c r="F2" s="9">
        <v>45931</v>
      </c>
      <c r="G2" s="9">
        <f t="shared" ref="G2:G8" si="0">EDATE(F2,(B2-C2))</f>
        <v>45931</v>
      </c>
      <c r="H2">
        <f t="shared" ref="H2:H8" si="1">B2-C2</f>
        <v>0</v>
      </c>
      <c r="J2" t="s">
        <v>292</v>
      </c>
      <c r="K2">
        <v>12000</v>
      </c>
    </row>
    <row r="3" spans="1:18" x14ac:dyDescent="0.3">
      <c r="A3" t="s">
        <v>139</v>
      </c>
      <c r="B3">
        <v>9</v>
      </c>
      <c r="C3">
        <v>7</v>
      </c>
      <c r="D3" s="44">
        <v>22498</v>
      </c>
      <c r="E3" s="44">
        <f>Tabla3[[#This Row],[Valor]]*Tabla3[[#This Row],[Cant Cuotas]]</f>
        <v>202482</v>
      </c>
      <c r="F3" s="9">
        <v>45931</v>
      </c>
      <c r="G3" s="9">
        <f t="shared" si="0"/>
        <v>45992</v>
      </c>
      <c r="H3">
        <f t="shared" si="1"/>
        <v>2</v>
      </c>
      <c r="J3" t="s">
        <v>293</v>
      </c>
      <c r="K3">
        <v>508230</v>
      </c>
      <c r="P3">
        <v>10400</v>
      </c>
      <c r="Q3">
        <v>13657</v>
      </c>
      <c r="R3">
        <f>P3*1.1</f>
        <v>11440.000000000002</v>
      </c>
    </row>
    <row r="4" spans="1:18" x14ac:dyDescent="0.3">
      <c r="A4" t="s">
        <v>122</v>
      </c>
      <c r="B4">
        <v>12</v>
      </c>
      <c r="C4">
        <v>8</v>
      </c>
      <c r="D4" s="44">
        <v>43000</v>
      </c>
      <c r="E4" s="44">
        <f>Tabla3[[#This Row],[Valor]]*Tabla3[[#This Row],[Cant Cuotas]]</f>
        <v>516000</v>
      </c>
      <c r="F4" s="9">
        <v>45931</v>
      </c>
      <c r="G4" s="9">
        <f t="shared" si="0"/>
        <v>46054</v>
      </c>
      <c r="H4">
        <f t="shared" si="1"/>
        <v>4</v>
      </c>
      <c r="J4" t="s">
        <v>294</v>
      </c>
      <c r="K4">
        <v>370386</v>
      </c>
      <c r="P4">
        <v>240</v>
      </c>
      <c r="Q4">
        <v>240</v>
      </c>
      <c r="R4">
        <v>240</v>
      </c>
    </row>
    <row r="5" spans="1:18" x14ac:dyDescent="0.3">
      <c r="A5" t="s">
        <v>131</v>
      </c>
      <c r="B5">
        <v>12</v>
      </c>
      <c r="C5">
        <v>6</v>
      </c>
      <c r="D5" s="44">
        <v>70000</v>
      </c>
      <c r="E5" s="44">
        <f>Tabla3[[#This Row],[Valor]]*Tabla3[[#This Row],[Cant Cuotas]]</f>
        <v>840000</v>
      </c>
      <c r="F5" s="9">
        <v>45931</v>
      </c>
      <c r="G5" s="9">
        <f t="shared" si="0"/>
        <v>46113</v>
      </c>
      <c r="H5">
        <f t="shared" si="1"/>
        <v>6</v>
      </c>
      <c r="J5" t="s">
        <v>295</v>
      </c>
      <c r="K5">
        <v>69019</v>
      </c>
      <c r="P5">
        <f>P3*P4</f>
        <v>2496000</v>
      </c>
      <c r="Q5">
        <f>Q3*Q4</f>
        <v>3277680</v>
      </c>
      <c r="R5">
        <f>R3*R4</f>
        <v>2745600.0000000005</v>
      </c>
    </row>
    <row r="6" spans="1:18" x14ac:dyDescent="0.3">
      <c r="A6" t="s">
        <v>152</v>
      </c>
      <c r="B6">
        <v>12</v>
      </c>
      <c r="C6">
        <v>3</v>
      </c>
      <c r="D6" s="44">
        <v>160920</v>
      </c>
      <c r="E6" s="44">
        <f>Tabla3[[#This Row],[Valor]]*Tabla3[[#This Row],[Cant Cuotas]]</f>
        <v>1931040</v>
      </c>
      <c r="F6" s="9">
        <v>45931</v>
      </c>
      <c r="G6" s="9">
        <f t="shared" si="0"/>
        <v>46204</v>
      </c>
      <c r="H6">
        <f t="shared" si="1"/>
        <v>9</v>
      </c>
      <c r="J6" t="s">
        <v>166</v>
      </c>
      <c r="K6">
        <v>179281</v>
      </c>
    </row>
    <row r="7" spans="1:18" x14ac:dyDescent="0.3">
      <c r="A7" t="s">
        <v>153</v>
      </c>
      <c r="B7">
        <v>12</v>
      </c>
      <c r="C7">
        <v>2</v>
      </c>
      <c r="D7" s="44">
        <v>43244</v>
      </c>
      <c r="E7" s="44">
        <f>Tabla3[[#This Row],[Valor]]*Tabla3[[#This Row],[Cant Cuotas]]</f>
        <v>518928</v>
      </c>
      <c r="F7" s="9">
        <v>45931</v>
      </c>
      <c r="G7" s="9">
        <f t="shared" si="0"/>
        <v>46235</v>
      </c>
      <c r="H7">
        <f t="shared" si="1"/>
        <v>10</v>
      </c>
      <c r="J7" t="s">
        <v>296</v>
      </c>
      <c r="K7">
        <v>118418</v>
      </c>
    </row>
    <row r="8" spans="1:18" x14ac:dyDescent="0.3">
      <c r="A8" t="s">
        <v>146</v>
      </c>
      <c r="B8">
        <v>48</v>
      </c>
      <c r="C8">
        <v>3</v>
      </c>
      <c r="D8" s="44">
        <v>333045</v>
      </c>
      <c r="E8" s="44">
        <f>Tabla3[[#This Row],[Valor]]*Tabla3[[#This Row],[Cant Cuotas]]</f>
        <v>15986160</v>
      </c>
      <c r="F8" s="9">
        <v>45931</v>
      </c>
      <c r="G8" s="9">
        <f t="shared" si="0"/>
        <v>47300</v>
      </c>
      <c r="H8">
        <f t="shared" si="1"/>
        <v>45</v>
      </c>
      <c r="J8" t="s">
        <v>153</v>
      </c>
      <c r="K8">
        <v>31900</v>
      </c>
    </row>
    <row r="9" spans="1:18" x14ac:dyDescent="0.3">
      <c r="D9" s="44">
        <f>SUBTOTAL(109,Tabla3[Valor])</f>
        <v>686907</v>
      </c>
      <c r="E9" s="44">
        <f>SUBTOTAL(109,Tabla3[Valor total])</f>
        <v>20037210</v>
      </c>
      <c r="F9" s="9"/>
      <c r="G9" s="9"/>
      <c r="J9" t="s">
        <v>297</v>
      </c>
      <c r="K9">
        <v>70000</v>
      </c>
    </row>
    <row r="10" spans="1:18" x14ac:dyDescent="0.3">
      <c r="J10" t="s">
        <v>298</v>
      </c>
      <c r="K10">
        <v>171559</v>
      </c>
    </row>
    <row r="11" spans="1:18" x14ac:dyDescent="0.3">
      <c r="J11" t="s">
        <v>299</v>
      </c>
      <c r="K11">
        <v>548909</v>
      </c>
    </row>
    <row r="12" spans="1:18" x14ac:dyDescent="0.3">
      <c r="J12" t="s">
        <v>300</v>
      </c>
      <c r="K12">
        <v>385000</v>
      </c>
    </row>
    <row r="13" spans="1:18" x14ac:dyDescent="0.3">
      <c r="J13" t="s">
        <v>130</v>
      </c>
      <c r="K13">
        <v>50000</v>
      </c>
    </row>
    <row r="14" spans="1:18" x14ac:dyDescent="0.3">
      <c r="J14" t="s">
        <v>158</v>
      </c>
      <c r="K14">
        <v>40000</v>
      </c>
    </row>
    <row r="15" spans="1:18" x14ac:dyDescent="0.3">
      <c r="J15" t="s">
        <v>301</v>
      </c>
      <c r="K15">
        <v>70000</v>
      </c>
      <c r="M15">
        <f>K25-K19</f>
        <v>52366</v>
      </c>
    </row>
    <row r="16" spans="1:18" x14ac:dyDescent="0.3">
      <c r="J16" t="s">
        <v>97</v>
      </c>
      <c r="K16">
        <v>90000</v>
      </c>
      <c r="M16">
        <f>K3-K24-K21</f>
        <v>114790</v>
      </c>
    </row>
    <row r="17" spans="10:13" x14ac:dyDescent="0.3">
      <c r="J17" t="s">
        <v>147</v>
      </c>
      <c r="K17">
        <v>92575</v>
      </c>
      <c r="M17">
        <f>M15-M16</f>
        <v>-62424</v>
      </c>
    </row>
    <row r="18" spans="10:13" x14ac:dyDescent="0.3">
      <c r="J18" t="s">
        <v>302</v>
      </c>
      <c r="K18">
        <v>54838</v>
      </c>
    </row>
    <row r="19" spans="10:13" x14ac:dyDescent="0.3">
      <c r="K19">
        <f>SUM(K2:K18)</f>
        <v>2862115</v>
      </c>
    </row>
    <row r="21" spans="10:13" x14ac:dyDescent="0.3">
      <c r="J21" t="s">
        <v>303</v>
      </c>
      <c r="K21">
        <v>262870</v>
      </c>
    </row>
    <row r="22" spans="10:13" x14ac:dyDescent="0.3">
      <c r="J22" t="s">
        <v>196</v>
      </c>
      <c r="K22">
        <v>2439396</v>
      </c>
    </row>
    <row r="23" spans="10:13" x14ac:dyDescent="0.3">
      <c r="J23" t="s">
        <v>36</v>
      </c>
      <c r="K23">
        <v>81645</v>
      </c>
    </row>
    <row r="24" spans="10:13" x14ac:dyDescent="0.3">
      <c r="J24" t="s">
        <v>304</v>
      </c>
      <c r="K24">
        <v>130570</v>
      </c>
    </row>
    <row r="25" spans="10:13" x14ac:dyDescent="0.3">
      <c r="K25">
        <f>SUM(K21:K24)</f>
        <v>2914481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Viaje 14-3</vt:lpstr>
      <vt:lpstr>Beca</vt:lpstr>
      <vt:lpstr>Mudanza</vt:lpstr>
      <vt:lpstr>Auto</vt:lpstr>
      <vt:lpstr>Cuotas</vt:lpstr>
    </vt:vector>
  </TitlesOfParts>
  <Manager/>
  <Company>Empresa Provincial de Energía de Córdoba (EPEC)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Robles</dc:creator>
  <cp:keywords/>
  <dc:description/>
  <cp:lastModifiedBy>Matias Hernan Robles</cp:lastModifiedBy>
  <cp:revision/>
  <dcterms:created xsi:type="dcterms:W3CDTF">2025-01-10T11:18:18Z</dcterms:created>
  <dcterms:modified xsi:type="dcterms:W3CDTF">2026-09-07T15:44:16Z</dcterms:modified>
  <cp:category/>
  <cp:contentStatus/>
</cp:coreProperties>
</file>